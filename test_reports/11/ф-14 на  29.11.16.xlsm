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app.xml" ContentType="application/vnd.openxmlformats-officedocument.extended-properties+xml"/>
  <Override PartName="/docProps/core.xml" ContentType="application/vnd.openxmlformats-package.core-properties+xml"/>
  <Override PartName="/xl/_rels/workbook.xml.rels" ContentType="application/vnd.openxmlformats-package.relationships+xml"/>
  <Override PartName="/xl/vbaProject.bin" ContentType="application/vnd.ms-office.vbaProject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workbook.xml" ContentType="application/vnd.ms-excel.sheet.macroEnabled.main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Лист1" sheetId="1" state="visible" r:id="rId3"/>
    <sheet name="XLR_NoRangeSheet" sheetId="2" state="hidden" r:id="rId4"/>
  </sheets>
  <definedNames>
    <definedName function="false" hidden="false" localSheetId="0" name="_xlnm.Print_Area" vbProcedure="false">Лист1!$A$1:$AI$49</definedName>
    <definedName function="false" hidden="false" name="range" vbProcedure="false">Лист1!$12:$49</definedName>
    <definedName function="false" hidden="false" name="XLRPARAMS_Data" vbProcedure="false">XLR_NoRangeSheet!$C$6</definedName>
    <definedName function="false" hidden="false" name="XLRPARAMS_Data1" vbProcedure="false">XLR_NoRangeSheet!$M$6</definedName>
    <definedName function="false" hidden="false" name="XLRPARAMS_NohTnpfl" vbProcedure="false">XLR_NoRangeSheet!$K$6</definedName>
    <definedName function="false" hidden="false" name="XLRPARAMS_SilaVetra" vbProcedure="false">XLR_NoRangeSheet!$D$6</definedName>
    <definedName function="false" hidden="false" name="XLRPARAMS_sredntnzadan" vbProcedure="false">XLR_NoRangeSheet!$L$6</definedName>
    <definedName function="false" hidden="false" name="XLRPARAMS_Tden1" vbProcedure="false">XLR_NoRangeSheet!$E$6</definedName>
    <definedName function="false" hidden="false" name="XLRPARAMS_TDen2" vbProcedure="false">XLR_NoRangeSheet!$F$6</definedName>
    <definedName function="false" hidden="false" name="XLRPARAMS_TNoh1" vbProcedure="false">XLR_NoRangeSheet!$G$6</definedName>
    <definedName function="false" hidden="false" name="XLRPARAMS_TNoh2" vbProcedure="false">XLR_NoRangeSheet!$H$6</definedName>
    <definedName function="false" hidden="false" name="XLRPARAMS_tsredsyt" vbProcedure="false">XLR_NoRangeSheet!$I$6</definedName>
    <definedName function="false" hidden="false" name="XLRPARAMS_Tsredvoda" vbProcedure="false">XLR_NoRangeSheet!$J$6</definedName>
    <definedName function="false" hidden="false" name="XLRPARAMS_Veter" vbProcedure="false">XLR_NoRangeSheet!$B$6</definedName>
    <definedName function="false" hidden="false" name="XLR_ERRNAMESTR" vbProcedure="false">XLR_NoRangeSheet!$B$5</definedName>
    <definedName function="false" hidden="false" name="XLR_VERSION" vbProcedure="false">XLR_NoRangeSheet!$A$5</definedName>
  </definedName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<sst xmlns="http://schemas.openxmlformats.org/spreadsheetml/2006/main" count="384" uniqueCount="133">
  <si>
    <t xml:space="preserve">Прогноз на </t>
  </si>
  <si>
    <t xml:space="preserve">Т день</t>
  </si>
  <si>
    <r>
      <rPr>
        <sz val="13"/>
        <color rgb="FF0000FF"/>
        <rFont val="Arial"/>
        <family val="2"/>
        <charset val="204"/>
      </rPr>
      <t xml:space="preserve">t</t>
    </r>
    <r>
      <rPr>
        <vertAlign val="subscript"/>
        <sz val="13"/>
        <color rgb="FF0000FF"/>
        <rFont val="Arial"/>
        <family val="2"/>
        <charset val="204"/>
      </rPr>
      <t xml:space="preserve">ср.возд.</t>
    </r>
    <r>
      <rPr>
        <sz val="13"/>
        <color rgb="FF0000FF"/>
        <rFont val="Arial"/>
        <family val="2"/>
        <charset val="204"/>
      </rPr>
      <t xml:space="preserve"> за </t>
    </r>
  </si>
  <si>
    <r>
      <rPr>
        <vertAlign val="superscript"/>
        <sz val="13"/>
        <color rgb="FF0000FF"/>
        <rFont val="Arial Cyr"/>
        <family val="2"/>
        <charset val="204"/>
      </rPr>
      <t xml:space="preserve">о</t>
    </r>
    <r>
      <rPr>
        <sz val="13"/>
        <color rgb="FF0000FF"/>
        <rFont val="Arial Cyr"/>
        <family val="2"/>
        <charset val="204"/>
      </rPr>
      <t xml:space="preserve">С</t>
    </r>
  </si>
  <si>
    <t xml:space="preserve">ветер</t>
  </si>
  <si>
    <t xml:space="preserve">Т ночь</t>
  </si>
  <si>
    <r>
      <rPr>
        <sz val="13"/>
        <color rgb="FF0000FF"/>
        <rFont val="Arial"/>
        <family val="2"/>
        <charset val="204"/>
      </rPr>
      <t xml:space="preserve">t</t>
    </r>
    <r>
      <rPr>
        <vertAlign val="subscript"/>
        <sz val="13"/>
        <color rgb="FF0000FF"/>
        <rFont val="Arial"/>
        <family val="2"/>
        <charset val="204"/>
      </rPr>
      <t xml:space="preserve">ср. воды.</t>
    </r>
    <r>
      <rPr>
        <sz val="13"/>
        <color rgb="FF0000FF"/>
        <rFont val="Arial"/>
        <family val="2"/>
        <charset val="204"/>
      </rPr>
      <t xml:space="preserve"> за</t>
    </r>
  </si>
  <si>
    <t xml:space="preserve">Сводные данные о работе котельных  МУП "Волгоградское коммунальное хозяйство" за </t>
  </si>
  <si>
    <t xml:space="preserve">Задаваемая температура наружного воздуха:</t>
  </si>
  <si>
    <r>
      <rPr>
        <sz val="14"/>
        <rFont val="Arial"/>
        <family val="2"/>
        <charset val="204"/>
      </rPr>
      <t xml:space="preserve">день (tн)</t>
    </r>
    <r>
      <rPr>
        <vertAlign val="subscript"/>
        <sz val="14"/>
        <rFont val="Arial"/>
        <family val="2"/>
        <charset val="204"/>
      </rPr>
      <t xml:space="preserve">д</t>
    </r>
    <r>
      <rPr>
        <vertAlign val="superscript"/>
        <sz val="14"/>
        <rFont val="Arial"/>
        <family val="2"/>
        <charset val="204"/>
      </rPr>
      <t xml:space="preserve">зад</t>
    </r>
    <r>
      <rPr>
        <sz val="14"/>
        <rFont val="Arial"/>
        <family val="2"/>
        <charset val="204"/>
      </rPr>
      <t xml:space="preserve"> =</t>
    </r>
  </si>
  <si>
    <r>
      <rPr>
        <vertAlign val="superscript"/>
        <sz val="16"/>
        <color rgb="FF0000FF"/>
        <rFont val="Arial"/>
        <family val="2"/>
        <charset val="204"/>
      </rPr>
      <t xml:space="preserve">о</t>
    </r>
    <r>
      <rPr>
        <sz val="16"/>
        <color rgb="FF0000FF"/>
        <rFont val="Arial"/>
        <family val="2"/>
        <charset val="204"/>
      </rPr>
      <t xml:space="preserve">С</t>
    </r>
  </si>
  <si>
    <r>
      <rPr>
        <sz val="14"/>
        <rFont val="Arial"/>
        <family val="2"/>
        <charset val="204"/>
      </rPr>
      <t xml:space="preserve">ночь  (tн)</t>
    </r>
    <r>
      <rPr>
        <vertAlign val="subscript"/>
        <sz val="14"/>
        <rFont val="Arial"/>
        <family val="2"/>
        <charset val="204"/>
      </rPr>
      <t xml:space="preserve">н</t>
    </r>
    <r>
      <rPr>
        <vertAlign val="superscript"/>
        <sz val="14"/>
        <rFont val="Arial"/>
        <family val="2"/>
        <charset val="204"/>
      </rPr>
      <t xml:space="preserve">зад</t>
    </r>
    <r>
      <rPr>
        <sz val="14"/>
        <rFont val="Arial"/>
        <family val="2"/>
        <charset val="204"/>
      </rPr>
      <t xml:space="preserve"> =</t>
    </r>
  </si>
  <si>
    <r>
      <rPr>
        <sz val="14"/>
        <color rgb="FFFFFFFF"/>
        <rFont val="Arial"/>
        <family val="2"/>
        <charset val="204"/>
      </rPr>
      <t xml:space="preserve">средняя  (tн)</t>
    </r>
    <r>
      <rPr>
        <vertAlign val="subscript"/>
        <sz val="14"/>
        <color rgb="FFFFFFFF"/>
        <rFont val="Arial"/>
        <family val="2"/>
        <charset val="204"/>
      </rPr>
      <t xml:space="preserve">ср</t>
    </r>
    <r>
      <rPr>
        <vertAlign val="superscript"/>
        <sz val="14"/>
        <color rgb="FFFFFFFF"/>
        <rFont val="Arial"/>
        <family val="2"/>
        <charset val="204"/>
      </rPr>
      <t xml:space="preserve">зад</t>
    </r>
    <r>
      <rPr>
        <sz val="14"/>
        <color rgb="FFFFFFFF"/>
        <rFont val="Arial"/>
        <family val="2"/>
        <charset val="204"/>
      </rPr>
      <t xml:space="preserve"> =</t>
    </r>
  </si>
  <si>
    <r>
      <rPr>
        <vertAlign val="superscript"/>
        <sz val="16"/>
        <color rgb="FFFFFFFF"/>
        <rFont val="Arial"/>
        <family val="2"/>
        <charset val="204"/>
      </rPr>
      <t xml:space="preserve">о</t>
    </r>
    <r>
      <rPr>
        <sz val="16"/>
        <color rgb="FFFFFFFF"/>
        <rFont val="Arial"/>
        <family val="2"/>
        <charset val="204"/>
      </rPr>
      <t xml:space="preserve">С</t>
    </r>
  </si>
  <si>
    <r>
      <rPr>
        <sz val="12"/>
        <rFont val="Arial"/>
        <family val="2"/>
        <charset val="204"/>
      </rPr>
      <t xml:space="preserve">РАЙОН                  </t>
    </r>
    <r>
      <rPr>
        <sz val="11"/>
        <rFont val="Arial"/>
        <family val="2"/>
        <charset val="204"/>
      </rPr>
      <t xml:space="preserve"> </t>
    </r>
  </si>
  <si>
    <t xml:space="preserve">Расчётный темпера-турный график</t>
  </si>
  <si>
    <t xml:space="preserve">котельная</t>
  </si>
  <si>
    <t xml:space="preserve">Р        газа                              </t>
  </si>
  <si>
    <t xml:space="preserve">котлы</t>
  </si>
  <si>
    <t xml:space="preserve">Сетевые насосы</t>
  </si>
  <si>
    <t xml:space="preserve">Среднесуточная температура</t>
  </si>
  <si>
    <t xml:space="preserve">Температура (ночь)</t>
  </si>
  <si>
    <t xml:space="preserve">давление в сети</t>
  </si>
  <si>
    <t xml:space="preserve">расход сетевой       воды (т/час)</t>
  </si>
  <si>
    <t xml:space="preserve">расход подпиточной воды </t>
  </si>
  <si>
    <t xml:space="preserve">жёсткость (мкг-экв\л)</t>
  </si>
  <si>
    <t xml:space="preserve">прозрач-ность, см</t>
  </si>
  <si>
    <t xml:space="preserve">заданная </t>
  </si>
  <si>
    <t xml:space="preserve">фактическая</t>
  </si>
  <si>
    <t xml:space="preserve">фактическая          на 6-00 ч.</t>
  </si>
  <si>
    <r>
      <rPr>
        <sz val="9"/>
        <rFont val="Arial"/>
        <family val="2"/>
        <charset val="204"/>
      </rPr>
      <t xml:space="preserve">(tн)</t>
    </r>
    <r>
      <rPr>
        <vertAlign val="subscript"/>
        <sz val="9"/>
        <rFont val="Arial"/>
        <family val="2"/>
        <charset val="204"/>
      </rPr>
      <t xml:space="preserve">ср</t>
    </r>
    <r>
      <rPr>
        <vertAlign val="superscript"/>
        <sz val="9"/>
        <rFont val="Arial"/>
        <family val="2"/>
        <charset val="204"/>
      </rPr>
      <t xml:space="preserve">зад</t>
    </r>
    <r>
      <rPr>
        <sz val="9"/>
        <rFont val="Arial"/>
        <family val="2"/>
        <charset val="204"/>
      </rPr>
      <t xml:space="preserve"> =</t>
    </r>
  </si>
  <si>
    <r>
      <rPr>
        <sz val="10"/>
        <rFont val="Arial"/>
        <family val="2"/>
        <charset val="204"/>
      </rPr>
      <t xml:space="preserve">(tн)</t>
    </r>
    <r>
      <rPr>
        <vertAlign val="subscript"/>
        <sz val="10"/>
        <rFont val="Arial"/>
        <family val="2"/>
        <charset val="204"/>
      </rPr>
      <t xml:space="preserve">н</t>
    </r>
    <r>
      <rPr>
        <vertAlign val="superscript"/>
        <sz val="10"/>
        <rFont val="Arial"/>
        <family val="2"/>
        <charset val="204"/>
      </rPr>
      <t xml:space="preserve">зад</t>
    </r>
    <r>
      <rPr>
        <sz val="10"/>
        <rFont val="Arial"/>
        <family val="2"/>
        <charset val="204"/>
      </rPr>
      <t xml:space="preserve"> =</t>
    </r>
    <r>
      <rPr>
        <sz val="10"/>
        <color rgb="FFFF0000"/>
        <rFont val="Arial"/>
        <family val="2"/>
        <charset val="204"/>
      </rPr>
      <t xml:space="preserve"> </t>
    </r>
  </si>
  <si>
    <t xml:space="preserve">всего</t>
  </si>
  <si>
    <t xml:space="preserve">в работе</t>
  </si>
  <si>
    <t xml:space="preserve">резерв</t>
  </si>
  <si>
    <t xml:space="preserve">ремонт</t>
  </si>
  <si>
    <r>
      <rPr>
        <sz val="12"/>
        <rFont val="Arial"/>
        <family val="2"/>
        <charset val="204"/>
      </rPr>
      <t xml:space="preserve">T</t>
    </r>
    <r>
      <rPr>
        <vertAlign val="subscript"/>
        <sz val="12"/>
        <rFont val="Arial"/>
        <family val="2"/>
        <charset val="204"/>
      </rPr>
      <t xml:space="preserve">1ср</t>
    </r>
    <r>
      <rPr>
        <vertAlign val="superscript"/>
        <sz val="12"/>
        <rFont val="Arial"/>
        <family val="2"/>
        <charset val="204"/>
      </rPr>
      <t xml:space="preserve">зад</t>
    </r>
  </si>
  <si>
    <r>
      <rPr>
        <sz val="12"/>
        <rFont val="Arial"/>
        <family val="2"/>
        <charset val="204"/>
      </rPr>
      <t xml:space="preserve">T</t>
    </r>
    <r>
      <rPr>
        <vertAlign val="subscript"/>
        <sz val="12"/>
        <rFont val="Arial"/>
        <family val="2"/>
        <charset val="204"/>
      </rPr>
      <t xml:space="preserve">2ср</t>
    </r>
    <r>
      <rPr>
        <vertAlign val="superscript"/>
        <sz val="12"/>
        <rFont val="Arial"/>
        <family val="2"/>
        <charset val="204"/>
      </rPr>
      <t xml:space="preserve">зад</t>
    </r>
  </si>
  <si>
    <r>
      <rPr>
        <sz val="12"/>
        <rFont val="Arial"/>
        <family val="2"/>
        <charset val="204"/>
      </rPr>
      <t xml:space="preserve">T</t>
    </r>
    <r>
      <rPr>
        <vertAlign val="subscript"/>
        <sz val="12"/>
        <rFont val="Arial"/>
        <family val="2"/>
        <charset val="204"/>
      </rPr>
      <t xml:space="preserve">1ср</t>
    </r>
    <r>
      <rPr>
        <vertAlign val="superscript"/>
        <sz val="12"/>
        <rFont val="Arial"/>
        <family val="2"/>
        <charset val="204"/>
      </rPr>
      <t xml:space="preserve">ф</t>
    </r>
  </si>
  <si>
    <r>
      <rPr>
        <sz val="12"/>
        <rFont val="Arial"/>
        <family val="2"/>
        <charset val="204"/>
      </rPr>
      <t xml:space="preserve">T</t>
    </r>
    <r>
      <rPr>
        <vertAlign val="subscript"/>
        <sz val="12"/>
        <rFont val="Arial"/>
        <family val="2"/>
        <charset val="204"/>
      </rPr>
      <t xml:space="preserve">2ср</t>
    </r>
    <r>
      <rPr>
        <vertAlign val="superscript"/>
        <sz val="12"/>
        <rFont val="Arial"/>
        <family val="2"/>
        <charset val="204"/>
      </rPr>
      <t xml:space="preserve">ф</t>
    </r>
  </si>
  <si>
    <r>
      <rPr>
        <sz val="12"/>
        <rFont val="Arial"/>
        <family val="2"/>
        <charset val="204"/>
      </rPr>
      <t xml:space="preserve">T</t>
    </r>
    <r>
      <rPr>
        <vertAlign val="subscript"/>
        <sz val="12"/>
        <rFont val="Arial"/>
        <family val="2"/>
        <charset val="204"/>
      </rPr>
      <t xml:space="preserve">1</t>
    </r>
    <r>
      <rPr>
        <vertAlign val="superscript"/>
        <sz val="12"/>
        <rFont val="Arial"/>
        <family val="2"/>
        <charset val="204"/>
      </rPr>
      <t xml:space="preserve">зад</t>
    </r>
  </si>
  <si>
    <r>
      <rPr>
        <sz val="12"/>
        <rFont val="Arial"/>
        <family val="2"/>
        <charset val="204"/>
      </rPr>
      <t xml:space="preserve">T</t>
    </r>
    <r>
      <rPr>
        <vertAlign val="subscript"/>
        <sz val="12"/>
        <rFont val="Arial"/>
        <family val="2"/>
        <charset val="204"/>
      </rPr>
      <t xml:space="preserve">2</t>
    </r>
    <r>
      <rPr>
        <vertAlign val="superscript"/>
        <sz val="12"/>
        <rFont val="Arial"/>
        <family val="2"/>
        <charset val="204"/>
      </rPr>
      <t xml:space="preserve">зад</t>
    </r>
  </si>
  <si>
    <r>
      <rPr>
        <sz val="12"/>
        <rFont val="Arial"/>
        <family val="2"/>
        <charset val="204"/>
      </rPr>
      <t xml:space="preserve">T</t>
    </r>
    <r>
      <rPr>
        <vertAlign val="subscript"/>
        <sz val="12"/>
        <rFont val="Arial"/>
        <family val="2"/>
        <charset val="204"/>
      </rPr>
      <t xml:space="preserve">1</t>
    </r>
    <r>
      <rPr>
        <vertAlign val="superscript"/>
        <sz val="12"/>
        <rFont val="Arial"/>
        <family val="2"/>
        <charset val="204"/>
      </rPr>
      <t xml:space="preserve">ф</t>
    </r>
  </si>
  <si>
    <r>
      <rPr>
        <sz val="12"/>
        <rFont val="Arial"/>
        <family val="2"/>
        <charset val="204"/>
      </rPr>
      <t xml:space="preserve">T</t>
    </r>
    <r>
      <rPr>
        <vertAlign val="subscript"/>
        <sz val="12"/>
        <rFont val="Arial"/>
        <family val="2"/>
        <charset val="204"/>
      </rPr>
      <t xml:space="preserve">2</t>
    </r>
    <r>
      <rPr>
        <vertAlign val="superscript"/>
        <sz val="12"/>
        <rFont val="Arial"/>
        <family val="2"/>
        <charset val="204"/>
      </rPr>
      <t xml:space="preserve">ф</t>
    </r>
  </si>
  <si>
    <r>
      <rPr>
        <sz val="12"/>
        <rFont val="Arial"/>
        <family val="2"/>
        <charset val="204"/>
      </rPr>
      <t xml:space="preserve"> Р</t>
    </r>
    <r>
      <rPr>
        <vertAlign val="subscript"/>
        <sz val="12"/>
        <rFont val="Arial"/>
        <family val="2"/>
        <charset val="204"/>
      </rPr>
      <t xml:space="preserve">1</t>
    </r>
    <r>
      <rPr>
        <sz val="12"/>
        <rFont val="Arial"/>
        <family val="2"/>
        <charset val="204"/>
      </rPr>
      <t xml:space="preserve">  </t>
    </r>
  </si>
  <si>
    <r>
      <rPr>
        <sz val="12"/>
        <rFont val="Arial"/>
        <family val="2"/>
        <charset val="204"/>
      </rPr>
      <t xml:space="preserve">Р</t>
    </r>
    <r>
      <rPr>
        <vertAlign val="subscript"/>
        <sz val="12"/>
        <rFont val="Arial"/>
        <family val="2"/>
        <charset val="204"/>
      </rPr>
      <t xml:space="preserve">2</t>
    </r>
    <r>
      <rPr>
        <sz val="12"/>
        <rFont val="Arial"/>
        <family val="2"/>
        <charset val="204"/>
      </rPr>
      <t xml:space="preserve">  </t>
    </r>
  </si>
  <si>
    <r>
      <rPr>
        <sz val="10"/>
        <rFont val="Arial"/>
        <family val="2"/>
        <charset val="204"/>
      </rPr>
      <t xml:space="preserve">расч.         G</t>
    </r>
    <r>
      <rPr>
        <vertAlign val="superscript"/>
        <sz val="10"/>
        <rFont val="Arial"/>
        <family val="2"/>
        <charset val="204"/>
      </rPr>
      <t xml:space="preserve">р</t>
    </r>
    <r>
      <rPr>
        <sz val="10"/>
        <rFont val="Arial"/>
        <family val="2"/>
        <charset val="204"/>
      </rPr>
      <t xml:space="preserve">  </t>
    </r>
  </si>
  <si>
    <r>
      <rPr>
        <sz val="10"/>
        <rFont val="Arial"/>
        <family val="2"/>
        <charset val="204"/>
      </rPr>
      <t xml:space="preserve">факт.         G</t>
    </r>
    <r>
      <rPr>
        <vertAlign val="superscript"/>
        <sz val="10"/>
        <rFont val="Arial"/>
        <family val="2"/>
        <charset val="204"/>
      </rPr>
      <t xml:space="preserve">ф</t>
    </r>
    <r>
      <rPr>
        <sz val="10"/>
        <rFont val="Arial"/>
        <family val="2"/>
        <charset val="204"/>
      </rPr>
      <t xml:space="preserve">  </t>
    </r>
  </si>
  <si>
    <r>
      <rPr>
        <sz val="10"/>
        <rFont val="Arial"/>
        <family val="2"/>
        <charset val="204"/>
      </rPr>
      <t xml:space="preserve">расч.    G</t>
    </r>
    <r>
      <rPr>
        <vertAlign val="subscript"/>
        <sz val="10"/>
        <rFont val="Arial"/>
        <family val="2"/>
        <charset val="204"/>
      </rPr>
      <t xml:space="preserve">п</t>
    </r>
    <r>
      <rPr>
        <vertAlign val="superscript"/>
        <sz val="10"/>
        <rFont val="Arial"/>
        <family val="2"/>
        <charset val="204"/>
      </rPr>
      <t xml:space="preserve">р</t>
    </r>
    <r>
      <rPr>
        <sz val="10"/>
        <rFont val="Arial"/>
        <family val="2"/>
        <charset val="204"/>
      </rPr>
      <t xml:space="preserve">  (т\час)</t>
    </r>
  </si>
  <si>
    <t xml:space="preserve">фактический</t>
  </si>
  <si>
    <t xml:space="preserve">Ж</t>
  </si>
  <si>
    <r>
      <rPr>
        <sz val="12"/>
        <rFont val="Arial"/>
        <family val="2"/>
        <charset val="204"/>
      </rPr>
      <t xml:space="preserve">T</t>
    </r>
    <r>
      <rPr>
        <vertAlign val="subscript"/>
        <sz val="12"/>
        <rFont val="Arial"/>
        <family val="2"/>
        <charset val="204"/>
      </rPr>
      <t xml:space="preserve">1</t>
    </r>
  </si>
  <si>
    <r>
      <rPr>
        <sz val="12"/>
        <rFont val="Arial"/>
        <family val="2"/>
        <charset val="204"/>
      </rPr>
      <t xml:space="preserve">T</t>
    </r>
    <r>
      <rPr>
        <vertAlign val="subscript"/>
        <sz val="12"/>
        <rFont val="Arial"/>
        <family val="2"/>
        <charset val="204"/>
      </rPr>
      <t xml:space="preserve">2</t>
    </r>
  </si>
  <si>
    <t xml:space="preserve">котлов</t>
  </si>
  <si>
    <t xml:space="preserve">горелок</t>
  </si>
  <si>
    <t xml:space="preserve">на             6-00 (т\час)</t>
  </si>
  <si>
    <t xml:space="preserve">за сутки (т\сут)</t>
  </si>
  <si>
    <t xml:space="preserve">всего с начала месяца, т</t>
  </si>
  <si>
    <t xml:space="preserve">Тракторозаводский</t>
  </si>
  <si>
    <t xml:space="preserve">150</t>
  </si>
  <si>
    <t xml:space="preserve">70</t>
  </si>
  <si>
    <t xml:space="preserve">РК кв. 412</t>
  </si>
  <si>
    <t xml:space="preserve">-</t>
  </si>
  <si>
    <t xml:space="preserve">РК кв. 849</t>
  </si>
  <si>
    <t xml:space="preserve">130</t>
  </si>
  <si>
    <t xml:space="preserve">БМК-14</t>
  </si>
  <si>
    <t xml:space="preserve">120</t>
  </si>
  <si>
    <t xml:space="preserve">ВИЗ</t>
  </si>
  <si>
    <t xml:space="preserve">Водстрой</t>
  </si>
  <si>
    <t xml:space="preserve">Краснооктябрьский</t>
  </si>
  <si>
    <t xml:space="preserve">РК кв. 629</t>
  </si>
  <si>
    <t xml:space="preserve">РК кв. 317</t>
  </si>
  <si>
    <t xml:space="preserve">кв.729</t>
  </si>
  <si>
    <t xml:space="preserve">РК 4-х Связистов</t>
  </si>
  <si>
    <t xml:space="preserve">115</t>
  </si>
  <si>
    <t xml:space="preserve">кв.164</t>
  </si>
  <si>
    <t xml:space="preserve">95</t>
  </si>
  <si>
    <t xml:space="preserve">БМК "Баррикады"</t>
  </si>
  <si>
    <t xml:space="preserve">Центральный</t>
  </si>
  <si>
    <t xml:space="preserve">РК ТДиН</t>
  </si>
  <si>
    <t xml:space="preserve">РК кв. 40</t>
  </si>
  <si>
    <t xml:space="preserve">10 див. НКВД</t>
  </si>
  <si>
    <t xml:space="preserve">кв.101(нов.)</t>
  </si>
  <si>
    <t xml:space="preserve">компл</t>
  </si>
  <si>
    <t xml:space="preserve">Дзержинский</t>
  </si>
  <si>
    <t xml:space="preserve">РК ЖБИ-1</t>
  </si>
  <si>
    <t xml:space="preserve">кв. 199</t>
  </si>
  <si>
    <t xml:space="preserve">БСМП</t>
  </si>
  <si>
    <t xml:space="preserve">Кача</t>
  </si>
  <si>
    <t xml:space="preserve">Ахтуба</t>
  </si>
  <si>
    <t xml:space="preserve">ТЕПЛОЦЕНТР</t>
  </si>
  <si>
    <t xml:space="preserve">кв. 135</t>
  </si>
  <si>
    <t xml:space="preserve">кв. 271</t>
  </si>
  <si>
    <t xml:space="preserve">Ворошиловский</t>
  </si>
  <si>
    <t xml:space="preserve">РК кв. 82</t>
  </si>
  <si>
    <t xml:space="preserve">кв. 207</t>
  </si>
  <si>
    <t xml:space="preserve">Вагонное депо</t>
  </si>
  <si>
    <t xml:space="preserve">Советский</t>
  </si>
  <si>
    <t xml:space="preserve">РК кв. 494</t>
  </si>
  <si>
    <t xml:space="preserve">БМК-80</t>
  </si>
  <si>
    <t xml:space="preserve">ДОЗ Куйбышева</t>
  </si>
  <si>
    <t xml:space="preserve">кв.71</t>
  </si>
  <si>
    <t xml:space="preserve">Кировский</t>
  </si>
  <si>
    <t xml:space="preserve">РК кв. 1111</t>
  </si>
  <si>
    <t xml:space="preserve">105</t>
  </si>
  <si>
    <t xml:space="preserve">Кот.№1</t>
  </si>
  <si>
    <t xml:space="preserve">350,8</t>
  </si>
  <si>
    <t xml:space="preserve">Кот.№2</t>
  </si>
  <si>
    <t xml:space="preserve">766,8</t>
  </si>
  <si>
    <t xml:space="preserve">Красноармейский</t>
  </si>
  <si>
    <t xml:space="preserve">РК кв. 1308</t>
  </si>
  <si>
    <t xml:space="preserve">2037,1</t>
  </si>
  <si>
    <t xml:space="preserve">ТЭЦ-2 (1м)</t>
  </si>
  <si>
    <t xml:space="preserve">ТЭЦ-2 (2м)</t>
  </si>
  <si>
    <t xml:space="preserve">кв.1343</t>
  </si>
  <si>
    <t xml:space="preserve">339</t>
  </si>
  <si>
    <t xml:space="preserve">1</t>
  </si>
  <si>
    <t xml:space="preserve">пос. Южный</t>
  </si>
  <si>
    <t xml:space="preserve">152.4</t>
  </si>
  <si>
    <t xml:space="preserve">0.56</t>
  </si>
  <si>
    <t xml:space="preserve">Диспетчер ЦДС Беккер А.В.</t>
  </si>
  <si>
    <t xml:space="preserve">4.2, Developer  (build 122-D7)</t>
  </si>
  <si>
    <t xml:space="preserve">xlrParams</t>
  </si>
  <si>
    <t xml:space="preserve">З</t>
  </si>
  <si>
    <t xml:space="preserve">29.11.2016</t>
  </si>
  <si>
    <t xml:space="preserve">6-11      </t>
  </si>
  <si>
    <t xml:space="preserve">3</t>
  </si>
  <si>
    <t xml:space="preserve">-4</t>
  </si>
  <si>
    <t xml:space="preserve">-6</t>
  </si>
  <si>
    <t xml:space="preserve">6,5</t>
  </si>
  <si>
    <t xml:space="preserve">3,7</t>
  </si>
  <si>
    <t xml:space="preserve">2</t>
  </si>
  <si>
    <t xml:space="preserve">28.11.2016</t>
  </si>
</sst>
</file>

<file path=xl/styles.xml><?xml version="1.0" encoding="utf-8"?>
<styleSheet xmlns="http://schemas.openxmlformats.org/spreadsheetml/2006/main">
  <numFmts count="8">
    <numFmt numFmtId="164" formatCode="General"/>
    <numFmt numFmtId="165" formatCode="DD/MM/YYYY"/>
    <numFmt numFmtId="166" formatCode="0.0"/>
    <numFmt numFmtId="167" formatCode="DD/MM/YY;@"/>
    <numFmt numFmtId="168" formatCode="0%"/>
    <numFmt numFmtId="169" formatCode="DD\ MMMM\ YYYY&quot; г.&quot;;@"/>
    <numFmt numFmtId="170" formatCode="@"/>
    <numFmt numFmtId="171" formatCode="0"/>
  </numFmts>
  <fonts count="56">
    <font>
      <sz val="11"/>
      <color rgb="FF000000"/>
      <name val="Calibri"/>
      <family val="2"/>
      <charset val="204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1"/>
      <color rgb="FFFFFFFF"/>
      <name val="Calibri"/>
      <family val="2"/>
      <charset val="204"/>
    </font>
    <font>
      <sz val="11"/>
      <color rgb="FF333399"/>
      <name val="Calibri"/>
      <family val="2"/>
      <charset val="204"/>
    </font>
    <font>
      <b val="true"/>
      <sz val="11"/>
      <color rgb="FF333333"/>
      <name val="Calibri"/>
      <family val="2"/>
      <charset val="204"/>
    </font>
    <font>
      <b val="true"/>
      <sz val="11"/>
      <color rgb="FFFF9900"/>
      <name val="Calibri"/>
      <family val="2"/>
      <charset val="204"/>
    </font>
    <font>
      <b val="true"/>
      <sz val="15"/>
      <color rgb="FF003366"/>
      <name val="Calibri"/>
      <family val="2"/>
      <charset val="204"/>
    </font>
    <font>
      <b val="true"/>
      <sz val="13"/>
      <color rgb="FF003366"/>
      <name val="Calibri"/>
      <family val="2"/>
      <charset val="204"/>
    </font>
    <font>
      <b val="true"/>
      <sz val="11"/>
      <color rgb="FF003366"/>
      <name val="Calibri"/>
      <family val="2"/>
      <charset val="204"/>
    </font>
    <font>
      <b val="true"/>
      <sz val="11"/>
      <color rgb="FF000000"/>
      <name val="Calibri"/>
      <family val="2"/>
      <charset val="204"/>
    </font>
    <font>
      <b val="true"/>
      <sz val="11"/>
      <color rgb="FFFFFFFF"/>
      <name val="Calibri"/>
      <family val="2"/>
      <charset val="204"/>
    </font>
    <font>
      <b val="true"/>
      <sz val="18"/>
      <color rgb="FF003366"/>
      <name val="Cambria"/>
      <family val="2"/>
      <charset val="204"/>
    </font>
    <font>
      <sz val="11"/>
      <color rgb="FF993300"/>
      <name val="Calibri"/>
      <family val="2"/>
      <charset val="204"/>
    </font>
    <font>
      <sz val="11"/>
      <color rgb="FF800080"/>
      <name val="Calibri"/>
      <family val="2"/>
      <charset val="204"/>
    </font>
    <font>
      <i val="true"/>
      <sz val="11"/>
      <color rgb="FF808080"/>
      <name val="Calibri"/>
      <family val="2"/>
      <charset val="204"/>
    </font>
    <font>
      <sz val="11"/>
      <color rgb="FFFF9900"/>
      <name val="Calibri"/>
      <family val="2"/>
      <charset val="204"/>
    </font>
    <font>
      <sz val="11"/>
      <color rgb="FFFF0000"/>
      <name val="Calibri"/>
      <family val="2"/>
      <charset val="204"/>
    </font>
    <font>
      <sz val="11"/>
      <color rgb="FF008000"/>
      <name val="Calibri"/>
      <family val="2"/>
      <charset val="204"/>
    </font>
    <font>
      <b val="true"/>
      <u val="single"/>
      <sz val="12"/>
      <name val="Arial"/>
      <family val="2"/>
      <charset val="204"/>
    </font>
    <font>
      <b val="true"/>
      <u val="single"/>
      <sz val="11"/>
      <color rgb="FFFF0000"/>
      <name val="Arial"/>
      <family val="2"/>
      <charset val="204"/>
    </font>
    <font>
      <sz val="12"/>
      <name val="Arial"/>
      <family val="2"/>
      <charset val="204"/>
    </font>
    <font>
      <sz val="12"/>
      <color rgb="FFFF0000"/>
      <name val="Arial"/>
      <family val="2"/>
      <charset val="204"/>
    </font>
    <font>
      <sz val="10"/>
      <name val="Times New Roman Cyr"/>
      <family val="1"/>
      <charset val="204"/>
    </font>
    <font>
      <sz val="13"/>
      <color rgb="FF0000FF"/>
      <name val="Arial"/>
      <family val="2"/>
      <charset val="204"/>
    </font>
    <font>
      <vertAlign val="subscript"/>
      <sz val="13"/>
      <color rgb="FF0000FF"/>
      <name val="Arial"/>
      <family val="2"/>
      <charset val="204"/>
    </font>
    <font>
      <sz val="13"/>
      <name val="Arial"/>
      <family val="2"/>
      <charset val="204"/>
    </font>
    <font>
      <sz val="16"/>
      <name val="Arial"/>
      <family val="2"/>
      <charset val="204"/>
    </font>
    <font>
      <vertAlign val="superscript"/>
      <sz val="13"/>
      <color rgb="FF0000FF"/>
      <name val="Arial Cyr"/>
      <family val="2"/>
      <charset val="204"/>
    </font>
    <font>
      <sz val="13"/>
      <color rgb="FF0000FF"/>
      <name val="Arial Cyr"/>
      <family val="2"/>
      <charset val="204"/>
    </font>
    <font>
      <sz val="11"/>
      <color rgb="FFFF0000"/>
      <name val="Arial"/>
      <family val="2"/>
      <charset val="204"/>
    </font>
    <font>
      <b val="true"/>
      <sz val="20"/>
      <name val="Arial"/>
      <family val="2"/>
      <charset val="204"/>
    </font>
    <font>
      <sz val="18"/>
      <name val="Arial"/>
      <family val="2"/>
      <charset val="204"/>
    </font>
    <font>
      <sz val="14"/>
      <name val="Arial"/>
      <family val="2"/>
      <charset val="204"/>
    </font>
    <font>
      <vertAlign val="subscript"/>
      <sz val="14"/>
      <name val="Arial"/>
      <family val="2"/>
      <charset val="204"/>
    </font>
    <font>
      <vertAlign val="superscript"/>
      <sz val="14"/>
      <name val="Arial"/>
      <family val="2"/>
      <charset val="204"/>
    </font>
    <font>
      <sz val="16"/>
      <color rgb="FF0000FF"/>
      <name val="Arial"/>
      <family val="2"/>
      <charset val="204"/>
    </font>
    <font>
      <vertAlign val="superscript"/>
      <sz val="16"/>
      <color rgb="FF0000FF"/>
      <name val="Arial"/>
      <family val="2"/>
      <charset val="204"/>
    </font>
    <font>
      <sz val="14"/>
      <color rgb="FFFFFFFF"/>
      <name val="Arial"/>
      <family val="2"/>
      <charset val="204"/>
    </font>
    <font>
      <vertAlign val="subscript"/>
      <sz val="14"/>
      <color rgb="FFFFFFFF"/>
      <name val="Arial"/>
      <family val="2"/>
      <charset val="204"/>
    </font>
    <font>
      <vertAlign val="superscript"/>
      <sz val="14"/>
      <color rgb="FFFFFFFF"/>
      <name val="Arial"/>
      <family val="2"/>
      <charset val="204"/>
    </font>
    <font>
      <sz val="16"/>
      <color rgb="FFFFFFFF"/>
      <name val="Arial"/>
      <family val="2"/>
      <charset val="204"/>
    </font>
    <font>
      <vertAlign val="superscript"/>
      <sz val="16"/>
      <color rgb="FFFFFFFF"/>
      <name val="Arial"/>
      <family val="2"/>
      <charset val="204"/>
    </font>
    <font>
      <sz val="11"/>
      <name val="Arial"/>
      <family val="2"/>
      <charset val="204"/>
    </font>
    <font>
      <sz val="10"/>
      <name val="Arial"/>
      <family val="2"/>
      <charset val="204"/>
    </font>
    <font>
      <sz val="9"/>
      <name val="Arial"/>
      <family val="2"/>
      <charset val="204"/>
    </font>
    <font>
      <vertAlign val="subscript"/>
      <sz val="9"/>
      <name val="Arial"/>
      <family val="2"/>
      <charset val="204"/>
    </font>
    <font>
      <vertAlign val="superscript"/>
      <sz val="9"/>
      <name val="Arial"/>
      <family val="2"/>
      <charset val="204"/>
    </font>
    <font>
      <vertAlign val="subscript"/>
      <sz val="10"/>
      <name val="Arial"/>
      <family val="2"/>
      <charset val="204"/>
    </font>
    <font>
      <vertAlign val="superscript"/>
      <sz val="10"/>
      <name val="Arial"/>
      <family val="2"/>
      <charset val="204"/>
    </font>
    <font>
      <sz val="10"/>
      <color rgb="FFFF0000"/>
      <name val="Arial"/>
      <family val="2"/>
      <charset val="204"/>
    </font>
    <font>
      <sz val="8"/>
      <name val="Arial"/>
      <family val="2"/>
      <charset val="204"/>
    </font>
    <font>
      <vertAlign val="subscript"/>
      <sz val="12"/>
      <name val="Arial"/>
      <family val="2"/>
      <charset val="204"/>
    </font>
    <font>
      <vertAlign val="superscript"/>
      <sz val="12"/>
      <name val="Arial"/>
      <family val="2"/>
      <charset val="204"/>
    </font>
    <font>
      <b val="true"/>
      <sz val="14"/>
      <color rgb="FFFF0000"/>
      <name val="Calibri"/>
      <family val="2"/>
      <charset val="204"/>
    </font>
  </fonts>
  <fills count="24">
    <fill>
      <patternFill patternType="none"/>
    </fill>
    <fill>
      <patternFill patternType="gray125"/>
    </fill>
    <fill>
      <patternFill patternType="solid">
        <fgColor rgb="FFCCCCFF"/>
        <bgColor rgb="FFC0C0C0"/>
      </patternFill>
    </fill>
    <fill>
      <patternFill patternType="solid">
        <fgColor rgb="FFFF99CC"/>
        <bgColor rgb="FFFF8080"/>
      </patternFill>
    </fill>
    <fill>
      <patternFill patternType="solid">
        <fgColor rgb="FFCCFFCC"/>
        <bgColor rgb="FFCCFFFF"/>
      </patternFill>
    </fill>
    <fill>
      <patternFill patternType="solid">
        <fgColor rgb="FFCC99FF"/>
        <bgColor rgb="FF9999FF"/>
      </patternFill>
    </fill>
    <fill>
      <patternFill patternType="solid">
        <fgColor rgb="FFCCFFFF"/>
        <bgColor rgb="FFCCFFFF"/>
      </patternFill>
    </fill>
    <fill>
      <patternFill patternType="solid">
        <fgColor rgb="FFFFCC99"/>
        <bgColor rgb="FFC0C0C0"/>
      </patternFill>
    </fill>
    <fill>
      <patternFill patternType="solid">
        <fgColor rgb="FF99CCFF"/>
        <bgColor rgb="FFCCCCFF"/>
      </patternFill>
    </fill>
    <fill>
      <patternFill patternType="solid">
        <fgColor rgb="FFFF8080"/>
        <bgColor rgb="FFFF99CC"/>
      </patternFill>
    </fill>
    <fill>
      <patternFill patternType="solid">
        <fgColor rgb="FF00FF00"/>
        <bgColor rgb="FF33CCCC"/>
      </patternFill>
    </fill>
    <fill>
      <patternFill patternType="solid">
        <fgColor rgb="FFFFCC00"/>
        <bgColor rgb="FFFFFF00"/>
      </patternFill>
    </fill>
    <fill>
      <patternFill patternType="solid">
        <fgColor rgb="FF0066CC"/>
        <bgColor rgb="FF008080"/>
      </patternFill>
    </fill>
    <fill>
      <patternFill patternType="solid">
        <fgColor rgb="FF800080"/>
        <bgColor rgb="FF800080"/>
      </patternFill>
    </fill>
    <fill>
      <patternFill patternType="solid">
        <fgColor rgb="FF33CCCC"/>
        <bgColor rgb="FF00CCFF"/>
      </patternFill>
    </fill>
    <fill>
      <patternFill patternType="solid">
        <fgColor rgb="FFFF9900"/>
        <bgColor rgb="FFFFCC00"/>
      </patternFill>
    </fill>
    <fill>
      <patternFill patternType="solid">
        <fgColor rgb="FF333399"/>
        <bgColor rgb="FF003366"/>
      </patternFill>
    </fill>
    <fill>
      <patternFill patternType="solid">
        <fgColor rgb="FFFF0000"/>
        <bgColor rgb="FF993300"/>
      </patternFill>
    </fill>
    <fill>
      <patternFill patternType="solid">
        <fgColor rgb="FF339966"/>
        <bgColor rgb="FF008080"/>
      </patternFill>
    </fill>
    <fill>
      <patternFill patternType="solid">
        <fgColor rgb="FFFF6600"/>
        <bgColor rgb="FFFF9900"/>
      </patternFill>
    </fill>
    <fill>
      <patternFill patternType="solid">
        <fgColor rgb="FFC0C0C0"/>
        <bgColor rgb="FFCCCCFF"/>
      </patternFill>
    </fill>
    <fill>
      <patternFill patternType="solid">
        <fgColor rgb="FF969696"/>
        <bgColor rgb="FF808080"/>
      </patternFill>
    </fill>
    <fill>
      <patternFill patternType="solid">
        <fgColor rgb="FFFFFF99"/>
        <bgColor rgb="FFFFFFCC"/>
      </patternFill>
    </fill>
    <fill>
      <patternFill patternType="solid">
        <fgColor rgb="FFFFFFCC"/>
        <bgColor rgb="FFFFFFFF"/>
      </patternFill>
    </fill>
  </fills>
  <borders count="41">
    <border diagonalUp="false" diagonalDown="false">
      <left/>
      <right/>
      <top/>
      <bottom/>
      <diagonal/>
    </border>
    <border diagonalUp="false" diagonalDown="false"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 diagonalUp="false" diagonalDown="false">
      <left style="thin">
        <color rgb="FF333333"/>
      </left>
      <right style="thin">
        <color rgb="FF333333"/>
      </right>
      <top style="thin">
        <color rgb="FF333333"/>
      </top>
      <bottom style="thin">
        <color rgb="FF333333"/>
      </bottom>
      <diagonal/>
    </border>
    <border diagonalUp="false" diagonalDown="false">
      <left/>
      <right/>
      <top/>
      <bottom style="thick">
        <color rgb="FF333399"/>
      </bottom>
      <diagonal/>
    </border>
    <border diagonalUp="false" diagonalDown="false">
      <left/>
      <right/>
      <top/>
      <bottom style="thick">
        <color rgb="FFC0C0C0"/>
      </bottom>
      <diagonal/>
    </border>
    <border diagonalUp="false" diagonalDown="false">
      <left/>
      <right/>
      <top/>
      <bottom style="medium">
        <color rgb="FF0066CC"/>
      </bottom>
      <diagonal/>
    </border>
    <border diagonalUp="false" diagonalDown="false">
      <left/>
      <right/>
      <top style="thin">
        <color rgb="FF333399"/>
      </top>
      <bottom style="double">
        <color rgb="FF333399"/>
      </bottom>
      <diagonal/>
    </border>
    <border diagonalUp="false" diagonalDown="false">
      <left style="double">
        <color rgb="FF333333"/>
      </left>
      <right style="double">
        <color rgb="FF333333"/>
      </right>
      <top style="double">
        <color rgb="FF333333"/>
      </top>
      <bottom style="double">
        <color rgb="FF333333"/>
      </bottom>
      <diagonal/>
    </border>
    <border diagonalUp="false" diagonalDown="false"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  <border diagonalUp="false" diagonalDown="false">
      <left/>
      <right/>
      <top/>
      <bottom style="double">
        <color rgb="FFFF9900"/>
      </bottom>
      <diagonal/>
    </border>
    <border diagonalUp="false" diagonalDown="false">
      <left/>
      <right/>
      <top/>
      <bottom style="medium"/>
      <diagonal/>
    </border>
    <border diagonalUp="false" diagonalDown="false">
      <left style="medium"/>
      <right style="medium"/>
      <top/>
      <bottom/>
      <diagonal/>
    </border>
    <border diagonalUp="false" diagonalDown="false">
      <left style="medium"/>
      <right style="medium"/>
      <top/>
      <bottom style="medium"/>
      <diagonal/>
    </border>
    <border diagonalUp="false" diagonalDown="false">
      <left/>
      <right style="medium"/>
      <top/>
      <bottom style="medium"/>
      <diagonal/>
    </border>
    <border diagonalUp="false" diagonalDown="false">
      <left style="medium"/>
      <right style="medium"/>
      <top style="medium"/>
      <bottom/>
      <diagonal/>
    </border>
    <border diagonalUp="false" diagonalDown="false">
      <left style="medium"/>
      <right style="medium"/>
      <top style="medium"/>
      <bottom style="medium"/>
      <diagonal/>
    </border>
    <border diagonalUp="false" diagonalDown="false">
      <left style="medium"/>
      <right/>
      <top/>
      <bottom style="medium"/>
      <diagonal/>
    </border>
    <border diagonalUp="false" diagonalDown="false">
      <left/>
      <right style="thin"/>
      <top style="medium"/>
      <bottom style="thin"/>
      <diagonal/>
    </border>
    <border diagonalUp="false" diagonalDown="false">
      <left style="thin"/>
      <right style="thin"/>
      <top style="medium"/>
      <bottom/>
      <diagonal/>
    </border>
    <border diagonalUp="false" diagonalDown="false">
      <left/>
      <right style="medium"/>
      <top style="medium"/>
      <bottom/>
      <diagonal/>
    </border>
    <border diagonalUp="false" diagonalDown="false">
      <left style="medium"/>
      <right style="thin"/>
      <top style="medium"/>
      <bottom/>
      <diagonal/>
    </border>
    <border diagonalUp="false" diagonalDown="false">
      <left style="thin"/>
      <right style="medium"/>
      <top style="medium"/>
      <bottom/>
      <diagonal/>
    </border>
    <border diagonalUp="false" diagonalDown="false">
      <left/>
      <right style="thin"/>
      <top style="medium"/>
      <bottom/>
      <diagonal/>
    </border>
    <border diagonalUp="false" diagonalDown="false">
      <left/>
      <right/>
      <top style="medium"/>
      <bottom/>
      <diagonal/>
    </border>
    <border diagonalUp="false" diagonalDown="false">
      <left style="thin"/>
      <right style="medium"/>
      <top style="medium"/>
      <bottom style="thin"/>
      <diagonal/>
    </border>
    <border diagonalUp="false" diagonalDown="false">
      <left style="medium"/>
      <right style="thin"/>
      <top style="thin"/>
      <bottom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 style="thin"/>
      <right style="thin"/>
      <top/>
      <bottom/>
      <diagonal/>
    </border>
    <border diagonalUp="false" diagonalDown="false">
      <left/>
      <right style="medium"/>
      <top/>
      <bottom/>
      <diagonal/>
    </border>
    <border diagonalUp="false" diagonalDown="false">
      <left style="medium"/>
      <right style="thin"/>
      <top/>
      <bottom style="medium"/>
      <diagonal/>
    </border>
    <border diagonalUp="false" diagonalDown="false">
      <left style="thin"/>
      <right/>
      <top/>
      <bottom style="medium"/>
      <diagonal/>
    </border>
    <border diagonalUp="false" diagonalDown="false">
      <left/>
      <right style="thin"/>
      <top/>
      <bottom style="medium"/>
      <diagonal/>
    </border>
    <border diagonalUp="false" diagonalDown="false">
      <left style="thin"/>
      <right style="thin"/>
      <top/>
      <bottom style="medium"/>
      <diagonal/>
    </border>
    <border diagonalUp="false" diagonalDown="false">
      <left style="thin"/>
      <right style="medium"/>
      <top/>
      <bottom style="medium"/>
      <diagonal/>
    </border>
    <border diagonalUp="false" diagonalDown="false">
      <left style="medium"/>
      <right style="medium"/>
      <top style="medium"/>
      <bottom style="thin"/>
      <diagonal/>
    </border>
    <border diagonalUp="false" diagonalDown="false">
      <left/>
      <right style="thin"/>
      <top/>
      <bottom style="thin"/>
      <diagonal/>
    </border>
    <border diagonalUp="false" diagonalDown="false">
      <left style="thin"/>
      <right/>
      <top/>
      <bottom style="thin"/>
      <diagonal/>
    </border>
    <border diagonalUp="false" diagonalDown="false">
      <left style="medium"/>
      <right style="medium"/>
      <top/>
      <bottom style="thin"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 style="medium"/>
      <right style="thin"/>
      <top/>
      <bottom style="thin"/>
      <diagonal/>
    </border>
    <border diagonalUp="false" diagonalDown="false">
      <left style="medium"/>
      <right style="medium"/>
      <top style="thin"/>
      <bottom style="thin"/>
      <diagonal/>
    </border>
  </borders>
  <cellStyleXfs count="61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168" fontId="0" fillId="0" borderId="0" applyFont="true" applyBorder="false" applyAlignment="false" applyProtection="false"/>
    <xf numFmtId="164" fontId="0" fillId="2" borderId="0" applyFont="true" applyBorder="false" applyAlignment="false" applyProtection="false"/>
    <xf numFmtId="164" fontId="0" fillId="3" borderId="0" applyFont="true" applyBorder="false" applyAlignment="false" applyProtection="false"/>
    <xf numFmtId="164" fontId="0" fillId="4" borderId="0" applyFont="true" applyBorder="false" applyAlignment="false" applyProtection="false"/>
    <xf numFmtId="164" fontId="0" fillId="5" borderId="0" applyFont="true" applyBorder="false" applyAlignment="false" applyProtection="false"/>
    <xf numFmtId="164" fontId="0" fillId="6" borderId="0" applyFont="true" applyBorder="false" applyAlignment="false" applyProtection="false"/>
    <xf numFmtId="164" fontId="0" fillId="7" borderId="0" applyFont="true" applyBorder="false" applyAlignment="false" applyProtection="false"/>
    <xf numFmtId="164" fontId="0" fillId="8" borderId="0" applyFont="true" applyBorder="false" applyAlignment="false" applyProtection="false"/>
    <xf numFmtId="164" fontId="0" fillId="9" borderId="0" applyFont="true" applyBorder="false" applyAlignment="false" applyProtection="false"/>
    <xf numFmtId="164" fontId="0" fillId="10" borderId="0" applyFont="true" applyBorder="false" applyAlignment="false" applyProtection="false"/>
    <xf numFmtId="164" fontId="0" fillId="5" borderId="0" applyFont="true" applyBorder="false" applyAlignment="false" applyProtection="false"/>
    <xf numFmtId="164" fontId="0" fillId="8" borderId="0" applyFont="true" applyBorder="false" applyAlignment="false" applyProtection="false"/>
    <xf numFmtId="164" fontId="0" fillId="11" borderId="0" applyFont="true" applyBorder="false" applyAlignment="false" applyProtection="false"/>
    <xf numFmtId="164" fontId="4" fillId="12" borderId="0" applyFont="true" applyBorder="false" applyAlignment="false" applyProtection="false"/>
    <xf numFmtId="164" fontId="4" fillId="9" borderId="0" applyFont="true" applyBorder="false" applyAlignment="false" applyProtection="false"/>
    <xf numFmtId="164" fontId="4" fillId="10" borderId="0" applyFont="true" applyBorder="false" applyAlignment="false" applyProtection="false"/>
    <xf numFmtId="164" fontId="4" fillId="13" borderId="0" applyFont="true" applyBorder="false" applyAlignment="false" applyProtection="false"/>
    <xf numFmtId="164" fontId="4" fillId="14" borderId="0" applyFont="true" applyBorder="false" applyAlignment="false" applyProtection="false"/>
    <xf numFmtId="164" fontId="4" fillId="15" borderId="0" applyFont="true" applyBorder="false" applyAlignment="false" applyProtection="false"/>
    <xf numFmtId="164" fontId="4" fillId="16" borderId="0" applyFont="true" applyBorder="false" applyAlignment="false" applyProtection="false"/>
    <xf numFmtId="164" fontId="4" fillId="17" borderId="0" applyFont="true" applyBorder="false" applyAlignment="false" applyProtection="false"/>
    <xf numFmtId="164" fontId="4" fillId="18" borderId="0" applyFont="true" applyBorder="false" applyAlignment="false" applyProtection="false"/>
    <xf numFmtId="164" fontId="4" fillId="13" borderId="0" applyFont="true" applyBorder="false" applyAlignment="false" applyProtection="false"/>
    <xf numFmtId="164" fontId="4" fillId="14" borderId="0" applyFont="true" applyBorder="false" applyAlignment="false" applyProtection="false"/>
    <xf numFmtId="164" fontId="4" fillId="19" borderId="0" applyFont="true" applyBorder="false" applyAlignment="false" applyProtection="false"/>
    <xf numFmtId="164" fontId="5" fillId="7" borderId="1" applyFont="true" applyBorder="true" applyAlignment="false" applyProtection="false"/>
    <xf numFmtId="164" fontId="6" fillId="20" borderId="2" applyFont="true" applyBorder="true" applyAlignment="false" applyProtection="false"/>
    <xf numFmtId="164" fontId="7" fillId="20" borderId="1" applyFont="true" applyBorder="true" applyAlignment="false" applyProtection="false"/>
    <xf numFmtId="164" fontId="8" fillId="0" borderId="3" applyFont="true" applyBorder="true" applyAlignment="false" applyProtection="false"/>
    <xf numFmtId="164" fontId="9" fillId="0" borderId="4" applyFont="true" applyBorder="true" applyAlignment="false" applyProtection="false"/>
    <xf numFmtId="164" fontId="10" fillId="0" borderId="5" applyFont="true" applyBorder="true" applyAlignment="false" applyProtection="false"/>
    <xf numFmtId="164" fontId="10" fillId="0" borderId="0" applyFont="true" applyBorder="false" applyAlignment="false" applyProtection="false"/>
    <xf numFmtId="164" fontId="11" fillId="0" borderId="6" applyFont="true" applyBorder="true" applyAlignment="false" applyProtection="false"/>
    <xf numFmtId="164" fontId="12" fillId="21" borderId="7" applyFont="true" applyBorder="true" applyAlignment="false" applyProtection="false"/>
    <xf numFmtId="164" fontId="13" fillId="0" borderId="0" applyFont="true" applyBorder="false" applyAlignment="false" applyProtection="false"/>
    <xf numFmtId="164" fontId="14" fillId="22" borderId="0" applyFont="true" applyBorder="false" applyAlignment="false" applyProtection="false"/>
    <xf numFmtId="164" fontId="15" fillId="3" borderId="0" applyFont="true" applyBorder="false" applyAlignment="false" applyProtection="false"/>
    <xf numFmtId="164" fontId="16" fillId="0" borderId="0" applyFont="true" applyBorder="false" applyAlignment="false" applyProtection="false"/>
    <xf numFmtId="164" fontId="0" fillId="23" borderId="8" applyFont="true" applyBorder="true" applyAlignment="false" applyProtection="false"/>
    <xf numFmtId="164" fontId="17" fillId="0" borderId="9" applyFont="true" applyBorder="true" applyAlignment="false" applyProtection="false"/>
    <xf numFmtId="164" fontId="18" fillId="0" borderId="0" applyFont="true" applyBorder="false" applyAlignment="false" applyProtection="false"/>
    <xf numFmtId="164" fontId="19" fillId="4" borderId="0" applyFont="true" applyBorder="false" applyAlignment="false" applyProtection="false"/>
  </cellStyleXfs>
  <cellXfs count="100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0" fillId="0" borderId="0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5" fontId="21" fillId="0" borderId="0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22" fillId="0" borderId="0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23" fillId="0" borderId="0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24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5" fillId="0" borderId="0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6" fontId="27" fillId="0" borderId="0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28" fillId="0" borderId="0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6" fontId="29" fillId="0" borderId="0" xfId="0" applyFont="true" applyBorder="true" applyAlignment="true" applyProtection="true">
      <alignment horizontal="left" vertical="center" textRotation="0" wrapText="false" indent="0" shrinkToFit="false"/>
      <protection locked="false" hidden="false"/>
    </xf>
    <xf numFmtId="164" fontId="22" fillId="0" borderId="0" xfId="0" applyFont="true" applyBorder="true" applyAlignment="true" applyProtection="true">
      <alignment horizontal="right" vertical="bottom" textRotation="0" wrapText="false" indent="0" shrinkToFit="false"/>
      <protection locked="false" hidden="false"/>
    </xf>
    <xf numFmtId="167" fontId="21" fillId="0" borderId="0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31" fillId="0" borderId="0" xfId="0" applyFont="true" applyBorder="true" applyAlignment="true" applyProtection="true">
      <alignment horizontal="left" vertical="bottom" textRotation="0" wrapText="false" indent="0" shrinkToFit="false"/>
      <protection locked="false" hidden="false"/>
    </xf>
    <xf numFmtId="164" fontId="24" fillId="0" borderId="0" xfId="0" applyFont="true" applyBorder="true" applyAlignment="false" applyProtection="true">
      <alignment horizontal="general" vertical="bottom" textRotation="0" wrapText="false" indent="0" shrinkToFit="false"/>
      <protection locked="false" hidden="false"/>
    </xf>
    <xf numFmtId="164" fontId="28" fillId="0" borderId="0" xf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8" fontId="32" fillId="0" borderId="0" xfId="19" applyFont="true" applyBorder="true" applyAlignment="true" applyProtection="true">
      <alignment horizontal="right" vertical="center" textRotation="0" wrapText="false" indent="0" shrinkToFit="false"/>
      <protection locked="false" hidden="false"/>
    </xf>
    <xf numFmtId="169" fontId="32" fillId="0" borderId="0" xfId="19" applyFont="true" applyBorder="true" applyAlignment="true" applyProtection="true">
      <alignment horizontal="left" vertical="center" textRotation="0" wrapText="false" indent="0" shrinkToFit="false"/>
      <protection locked="false" hidden="false"/>
    </xf>
    <xf numFmtId="168" fontId="33" fillId="0" borderId="0" xfId="19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34" fillId="0" borderId="10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34" fillId="0" borderId="10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34" fillId="0" borderId="10" xfId="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64" fontId="37" fillId="0" borderId="10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38" fillId="0" borderId="10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34" fillId="0" borderId="10" xfId="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4" fontId="37" fillId="0" borderId="10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39" fillId="0" borderId="10" xfId="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4" fontId="42" fillId="0" borderId="10" xfId="0" applyFont="true" applyBorder="true" applyAlignment="true" applyProtection="true">
      <alignment horizontal="left" vertical="center" textRotation="0" wrapText="false" indent="0" shrinkToFit="false"/>
      <protection locked="false" hidden="false"/>
    </xf>
    <xf numFmtId="164" fontId="43" fillId="0" borderId="10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22" fillId="0" borderId="1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45" fillId="0" borderId="12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2" fillId="0" borderId="1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5" fillId="0" borderId="1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5" fillId="0" borderId="1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5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5" fillId="0" borderId="1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45" fillId="0" borderId="1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5" fillId="0" borderId="15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46" fillId="0" borderId="16" xfId="0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64" fontId="37" fillId="0" borderId="13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45" fillId="0" borderId="16" xfId="0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64" fontId="22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5" fillId="0" borderId="14" xfId="0" applyFont="true" applyBorder="true" applyAlignment="true" applyProtection="false">
      <alignment horizontal="center" vertical="center" textRotation="90" wrapText="false" indent="0" shrinkToFit="false"/>
      <protection locked="true" hidden="false"/>
    </xf>
    <xf numFmtId="164" fontId="45" fillId="0" borderId="17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2" fillId="0" borderId="18" xfId="0" applyFont="true" applyBorder="true" applyAlignment="true" applyProtection="false">
      <alignment horizontal="center" vertical="center" textRotation="90" wrapText="false" indent="0" shrinkToFit="false"/>
      <protection locked="true" hidden="false"/>
    </xf>
    <xf numFmtId="164" fontId="52" fillId="0" borderId="19" xfId="0" applyFont="true" applyBorder="true" applyAlignment="true" applyProtection="false">
      <alignment horizontal="center" vertical="center" textRotation="90" wrapText="false" indent="0" shrinkToFit="false"/>
      <protection locked="true" hidden="false"/>
    </xf>
    <xf numFmtId="164" fontId="22" fillId="0" borderId="1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2" fillId="0" borderId="19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2" fillId="0" borderId="2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2" fillId="0" borderId="2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2" fillId="0" borderId="2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2" fillId="0" borderId="2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2" fillId="0" borderId="23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45" fillId="0" borderId="2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45" fillId="0" borderId="23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45" fillId="0" borderId="2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2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2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2" fillId="0" borderId="14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2" fillId="0" borderId="2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2" fillId="0" borderId="19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2" fillId="0" borderId="25" xfId="0" applyFont="true" applyBorder="true" applyAlignment="true" applyProtection="false">
      <alignment horizontal="center" vertical="center" textRotation="90" wrapText="false" indent="0" shrinkToFit="false"/>
      <protection locked="true" hidden="false"/>
    </xf>
    <xf numFmtId="164" fontId="52" fillId="0" borderId="26" xfId="0" applyFont="true" applyBorder="true" applyAlignment="true" applyProtection="false">
      <alignment horizontal="center" vertical="center" textRotation="90" wrapText="false" indent="0" shrinkToFit="false"/>
      <protection locked="true" hidden="false"/>
    </xf>
    <xf numFmtId="164" fontId="45" fillId="0" borderId="27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45" fillId="0" borderId="26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52" fillId="0" borderId="28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2" fillId="0" borderId="29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2" fillId="0" borderId="3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2" fillId="0" borderId="3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2" fillId="0" borderId="3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2" fillId="0" borderId="1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2" fillId="0" borderId="3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2" fillId="0" borderId="3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2" fillId="0" borderId="1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2" fillId="0" borderId="29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2" fillId="0" borderId="3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2" fillId="0" borderId="3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2" fillId="0" borderId="1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2" fillId="0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0" fontId="22" fillId="0" borderId="34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34" fillId="0" borderId="35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34" fillId="0" borderId="36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34" fillId="0" borderId="37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34" fillId="0" borderId="37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1" fontId="34" fillId="0" borderId="35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34" fillId="0" borderId="38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34" fillId="0" borderId="39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6" fontId="34" fillId="0" borderId="39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6" fontId="34" fillId="0" borderId="36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1" fontId="34" fillId="0" borderId="36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34" fillId="0" borderId="38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34" fillId="0" borderId="36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34" fillId="0" borderId="37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34" fillId="0" borderId="37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22" fillId="0" borderId="40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71" fontId="34" fillId="0" borderId="35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34" fillId="0" borderId="39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55" fillId="0" borderId="0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18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0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47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  <cellStyle name="20% - Акцент1" xfId="20" builtinId="53" customBuiltin="true"/>
    <cellStyle name="20% - Акцент2" xfId="21" builtinId="53" customBuiltin="true"/>
    <cellStyle name="20% - Акцент3" xfId="22" builtinId="53" customBuiltin="true"/>
    <cellStyle name="20% - Акцент4" xfId="23" builtinId="53" customBuiltin="true"/>
    <cellStyle name="20% - Акцент5" xfId="24" builtinId="53" customBuiltin="true"/>
    <cellStyle name="20% - Акцент6" xfId="25" builtinId="53" customBuiltin="true"/>
    <cellStyle name="40% - Акцент1" xfId="26" builtinId="53" customBuiltin="true"/>
    <cellStyle name="40% - Акцент2" xfId="27" builtinId="53" customBuiltin="true"/>
    <cellStyle name="40% - Акцент3" xfId="28" builtinId="53" customBuiltin="true"/>
    <cellStyle name="40% - Акцент4" xfId="29" builtinId="53" customBuiltin="true"/>
    <cellStyle name="40% - Акцент5" xfId="30" builtinId="53" customBuiltin="true"/>
    <cellStyle name="40% - Акцент6" xfId="31" builtinId="53" customBuiltin="true"/>
    <cellStyle name="60% - Акцент1" xfId="32" builtinId="53" customBuiltin="true"/>
    <cellStyle name="60% - Акцент2" xfId="33" builtinId="53" customBuiltin="true"/>
    <cellStyle name="60% - Акцент3" xfId="34" builtinId="53" customBuiltin="true"/>
    <cellStyle name="60% - Акцент4" xfId="35" builtinId="53" customBuiltin="true"/>
    <cellStyle name="60% - Акцент5" xfId="36" builtinId="53" customBuiltin="true"/>
    <cellStyle name="60% - Акцент6" xfId="37" builtinId="53" customBuiltin="true"/>
    <cellStyle name="Акцент1" xfId="38" builtinId="53" customBuiltin="true"/>
    <cellStyle name="Акцент2" xfId="39" builtinId="53" customBuiltin="true"/>
    <cellStyle name="Акцент3" xfId="40" builtinId="53" customBuiltin="true"/>
    <cellStyle name="Акцент4" xfId="41" builtinId="53" customBuiltin="true"/>
    <cellStyle name="Акцент5" xfId="42" builtinId="53" customBuiltin="true"/>
    <cellStyle name="Акцент6" xfId="43" builtinId="53" customBuiltin="true"/>
    <cellStyle name="Ввод " xfId="44" builtinId="53" customBuiltin="true"/>
    <cellStyle name="Вывод" xfId="45" builtinId="53" customBuiltin="true"/>
    <cellStyle name="Вычисление" xfId="46" builtinId="53" customBuiltin="true"/>
    <cellStyle name="Заголовок 1" xfId="47" builtinId="53" customBuiltin="true"/>
    <cellStyle name="Заголовок 2" xfId="48" builtinId="53" customBuiltin="true"/>
    <cellStyle name="Заголовок 3" xfId="49" builtinId="53" customBuiltin="true"/>
    <cellStyle name="Заголовок 4" xfId="50" builtinId="53" customBuiltin="true"/>
    <cellStyle name="Итог" xfId="51" builtinId="53" customBuiltin="true"/>
    <cellStyle name="Контрольная ячейка" xfId="52" builtinId="53" customBuiltin="true"/>
    <cellStyle name="Название" xfId="53" builtinId="53" customBuiltin="true"/>
    <cellStyle name="Нейтральный" xfId="54" builtinId="53" customBuiltin="true"/>
    <cellStyle name="Плохой" xfId="55" builtinId="53" customBuiltin="true"/>
    <cellStyle name="Пояснение" xfId="56" builtinId="53" customBuiltin="true"/>
    <cellStyle name="Примечание" xfId="57" builtinId="53" customBuiltin="true"/>
    <cellStyle name="Связанная ячейка" xfId="58" builtinId="53" customBuiltin="true"/>
    <cellStyle name="Текст предупреждения" xfId="59" builtinId="53" customBuiltin="true"/>
    <cellStyle name="Хороший" xfId="60" builtinId="53" customBuiltin="true"/>
  </cellStyles>
  <dxfs count="9">
    <dxf>
      <font>
        <name val="Calibri"/>
        <charset val="204"/>
        <family val="2"/>
        <color rgb="FF000000"/>
      </font>
      <fill>
        <patternFill>
          <bgColor rgb="FFFFFF00"/>
        </patternFill>
      </fill>
    </dxf>
    <dxf>
      <font>
        <name val="Calibri"/>
        <charset val="204"/>
        <family val="2"/>
        <color rgb="FFFF0000"/>
      </font>
    </dxf>
    <dxf>
      <font>
        <name val="Calibri"/>
        <charset val="204"/>
        <family val="2"/>
        <color rgb="FF000000"/>
      </font>
      <fill>
        <patternFill>
          <bgColor rgb="FFFF99CC"/>
        </patternFill>
      </fill>
    </dxf>
    <dxf>
      <font>
        <name val="Calibri"/>
        <charset val="204"/>
        <family val="2"/>
        <color rgb="FF000000"/>
      </font>
      <fill>
        <patternFill>
          <bgColor rgb="FF00FFFF"/>
        </patternFill>
      </fill>
    </dxf>
    <dxf>
      <font>
        <name val="Calibri"/>
        <charset val="204"/>
        <family val="2"/>
        <color rgb="FF000000"/>
      </font>
      <fill>
        <patternFill>
          <bgColor rgb="FFFFFF00"/>
        </patternFill>
      </fill>
    </dxf>
    <dxf>
      <font>
        <name val="Calibri"/>
        <charset val="204"/>
        <family val="2"/>
        <color rgb="FF000000"/>
      </font>
      <fill>
        <patternFill>
          <bgColor rgb="FF00FFFF"/>
        </patternFill>
      </fill>
    </dxf>
    <dxf>
      <font>
        <name val="Calibri"/>
        <charset val="204"/>
        <family val="2"/>
        <color rgb="FF000000"/>
      </font>
      <fill>
        <patternFill>
          <bgColor rgb="FFFFFF00"/>
        </patternFill>
      </fill>
    </dxf>
    <dxf>
      <font>
        <name val="Calibri"/>
        <charset val="204"/>
        <family val="2"/>
        <color rgb="FF000000"/>
      </font>
      <fill>
        <patternFill>
          <bgColor rgb="FFFF0000"/>
        </patternFill>
      </fill>
    </dxf>
    <dxf>
      <font>
        <name val="Calibri"/>
        <charset val="204"/>
        <family val="2"/>
        <color rgb="FF000000"/>
      </font>
      <fill>
        <patternFill>
          <bgColor rgb="FFFFFF00"/>
        </patternFill>
      </fill>
    </dxf>
  </dxf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B1:AI51"/>
  <sheetViews>
    <sheetView windowProtection="false" showFormulas="false" showGridLines="true" showRowColHeaders="true" showZeros="true" rightToLeft="false" tabSelected="true" showOutlineSymbols="true" defaultGridColor="true" view="pageBreakPreview" topLeftCell="D7" colorId="64" zoomScale="75" zoomScaleNormal="100" zoomScalePageLayoutView="75" workbookViewId="0">
      <selection pane="topLeft" activeCell="S35" activeCellId="0" sqref="S35"/>
    </sheetView>
  </sheetViews>
  <sheetFormatPr defaultRowHeight="15"/>
  <cols>
    <col collapsed="false" hidden="true" max="1" min="1" style="0" width="0"/>
    <col collapsed="false" hidden="false" max="2" min="2" style="0" width="21.265306122449"/>
    <col collapsed="false" hidden="false" max="4" min="3" style="0" width="5.70408163265306"/>
    <col collapsed="false" hidden="false" max="5" min="5" style="0" width="15.8367346938776"/>
    <col collapsed="false" hidden="false" max="6" min="6" style="0" width="7.28061224489796"/>
    <col collapsed="false" hidden="false" max="7" min="7" style="0" width="7.8469387755102"/>
    <col collapsed="false" hidden="false" max="8" min="8" style="0" width="6.70408163265306"/>
    <col collapsed="false" hidden="false" max="15" min="9" style="0" width="5.70408163265306"/>
    <col collapsed="false" hidden="false" max="23" min="16" style="0" width="8.70408163265306"/>
    <col collapsed="false" hidden="false" max="27" min="24" style="0" width="7.8469387755102"/>
    <col collapsed="false" hidden="false" max="29" min="28" style="0" width="6.70408163265306"/>
    <col collapsed="false" hidden="false" max="30" min="30" style="0" width="7.70408163265306"/>
    <col collapsed="false" hidden="false" max="31" min="31" style="0" width="9.55612244897959"/>
    <col collapsed="false" hidden="true" max="33" min="32" style="0" width="0"/>
    <col collapsed="false" hidden="false" max="35" min="34" style="0" width="7.98979591836735"/>
  </cols>
  <sheetData>
    <row r="1" s="1" customFormat="true" ht="20.25" hidden="false" customHeight="false" outlineLevel="0" collapsed="false">
      <c r="B1" s="2" t="s">
        <v>0</v>
      </c>
      <c r="C1" s="3" t="str">
        <f aca="false">XLRPARAMS_Data</f>
        <v>29.11.2016</v>
      </c>
      <c r="D1" s="3"/>
      <c r="E1" s="4"/>
      <c r="F1" s="4" t="s">
        <v>1</v>
      </c>
      <c r="G1" s="5" t="str">
        <f aca="false">XLRPARAMS_Tden1</f>
        <v>1</v>
      </c>
      <c r="H1" s="5" t="str">
        <f aca="false">XLRPARAMS_TDen2</f>
        <v>3</v>
      </c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7" t="s">
        <v>2</v>
      </c>
      <c r="AB1" s="7"/>
      <c r="AC1" s="7" t="str">
        <f aca="false">XLRPARAMS_Data1</f>
        <v>28.11.2016</v>
      </c>
      <c r="AD1" s="7"/>
      <c r="AE1" s="8" t="str">
        <f aca="false">XLRPARAMS_tsredsyt</f>
        <v>6,5</v>
      </c>
      <c r="AF1" s="9"/>
      <c r="AG1" s="9"/>
      <c r="AH1" s="10" t="s">
        <v>3</v>
      </c>
      <c r="AI1" s="9"/>
    </row>
    <row r="2" s="1" customFormat="true" ht="20.25" hidden="false" customHeight="false" outlineLevel="0" collapsed="false">
      <c r="B2" s="11" t="s">
        <v>4</v>
      </c>
      <c r="C2" s="12" t="str">
        <f aca="false">XLRPARAMS_Veter</f>
        <v>З</v>
      </c>
      <c r="D2" s="13" t="str">
        <f aca="false">XLRPARAMS_SilaVetra</f>
        <v>6-11      </v>
      </c>
      <c r="E2" s="13"/>
      <c r="F2" s="4" t="s">
        <v>5</v>
      </c>
      <c r="G2" s="5" t="str">
        <f aca="false">XLRPARAMS_TNoh1</f>
        <v>-4</v>
      </c>
      <c r="H2" s="5" t="str">
        <f aca="false">XLRPARAMS_TNoh2</f>
        <v>-6</v>
      </c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5"/>
      <c r="X2" s="15"/>
      <c r="Y2" s="15"/>
      <c r="Z2" s="6"/>
      <c r="AA2" s="7" t="s">
        <v>6</v>
      </c>
      <c r="AB2" s="7"/>
      <c r="AC2" s="7" t="str">
        <f aca="false">XLRPARAMS_Data1</f>
        <v>28.11.2016</v>
      </c>
      <c r="AD2" s="7"/>
      <c r="AE2" s="8" t="str">
        <f aca="false">XLRPARAMS_Tsredvoda</f>
        <v>3,7</v>
      </c>
      <c r="AF2" s="15"/>
      <c r="AG2" s="15"/>
      <c r="AH2" s="10" t="s">
        <v>3</v>
      </c>
      <c r="AI2" s="15"/>
    </row>
    <row r="3" s="1" customFormat="true" ht="46.5" hidden="false" customHeight="true" outlineLevel="0" collapsed="false">
      <c r="B3" s="16" t="s">
        <v>7</v>
      </c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  <c r="AA3" s="17" t="str">
        <f aca="false">XLRPARAMS_Data1</f>
        <v>28.11.2016</v>
      </c>
      <c r="AB3" s="17"/>
      <c r="AC3" s="17"/>
      <c r="AD3" s="17"/>
      <c r="AE3" s="18"/>
      <c r="AF3" s="18"/>
      <c r="AG3" s="18"/>
      <c r="AH3" s="18"/>
      <c r="AI3" s="14"/>
    </row>
    <row r="4" s="1" customFormat="true" ht="42.75" hidden="false" customHeight="true" outlineLevel="0" collapsed="false">
      <c r="B4" s="19"/>
      <c r="C4" s="20" t="s">
        <v>8</v>
      </c>
      <c r="D4" s="20"/>
      <c r="E4" s="20"/>
      <c r="F4" s="20"/>
      <c r="G4" s="20"/>
      <c r="H4" s="20"/>
      <c r="I4" s="20"/>
      <c r="J4" s="20"/>
      <c r="K4" s="21" t="s">
        <v>9</v>
      </c>
      <c r="L4" s="21"/>
      <c r="M4" s="21"/>
      <c r="N4" s="22" t="n">
        <f aca="false">Z4*2-T4</f>
        <v>2</v>
      </c>
      <c r="O4" s="23" t="s">
        <v>10</v>
      </c>
      <c r="P4" s="23"/>
      <c r="Q4" s="24" t="s">
        <v>11</v>
      </c>
      <c r="R4" s="24"/>
      <c r="S4" s="24"/>
      <c r="T4" s="25" t="str">
        <f aca="false">XLRPARAMS_NohTnpfl</f>
        <v>2</v>
      </c>
      <c r="U4" s="23" t="s">
        <v>10</v>
      </c>
      <c r="V4" s="26" t="s">
        <v>12</v>
      </c>
      <c r="W4" s="26"/>
      <c r="X4" s="26"/>
      <c r="Y4" s="26"/>
      <c r="Z4" s="27" t="str">
        <f aca="false">XLRPARAMS_sredntnzadan</f>
        <v>2</v>
      </c>
      <c r="AA4" s="28" t="s">
        <v>13</v>
      </c>
      <c r="AB4" s="19"/>
      <c r="AC4" s="19"/>
      <c r="AD4" s="19"/>
      <c r="AE4" s="19"/>
      <c r="AF4" s="19"/>
      <c r="AG4" s="19"/>
      <c r="AH4" s="19"/>
      <c r="AI4" s="19"/>
    </row>
    <row r="5" customFormat="false" ht="15.75" hidden="false" customHeight="true" outlineLevel="0" collapsed="false">
      <c r="B5" s="29" t="s">
        <v>14</v>
      </c>
      <c r="C5" s="30" t="s">
        <v>15</v>
      </c>
      <c r="D5" s="30"/>
      <c r="E5" s="29" t="s">
        <v>16</v>
      </c>
      <c r="F5" s="29"/>
      <c r="G5" s="29" t="s">
        <v>17</v>
      </c>
      <c r="H5" s="31" t="s">
        <v>18</v>
      </c>
      <c r="I5" s="31"/>
      <c r="J5" s="31"/>
      <c r="K5" s="31"/>
      <c r="L5" s="31"/>
      <c r="M5" s="30" t="s">
        <v>19</v>
      </c>
      <c r="N5" s="30"/>
      <c r="O5" s="30"/>
      <c r="P5" s="32" t="s">
        <v>20</v>
      </c>
      <c r="Q5" s="32"/>
      <c r="R5" s="32"/>
      <c r="S5" s="32"/>
      <c r="T5" s="33" t="s">
        <v>21</v>
      </c>
      <c r="U5" s="33"/>
      <c r="V5" s="33"/>
      <c r="W5" s="33"/>
      <c r="X5" s="30" t="s">
        <v>22</v>
      </c>
      <c r="Y5" s="30"/>
      <c r="Z5" s="30" t="s">
        <v>23</v>
      </c>
      <c r="AA5" s="30"/>
      <c r="AB5" s="30" t="s">
        <v>24</v>
      </c>
      <c r="AC5" s="30"/>
      <c r="AD5" s="30"/>
      <c r="AE5" s="30"/>
      <c r="AF5" s="34"/>
      <c r="AG5" s="34"/>
      <c r="AH5" s="30" t="s">
        <v>25</v>
      </c>
      <c r="AI5" s="35" t="s">
        <v>26</v>
      </c>
    </row>
    <row r="6" customFormat="false" ht="15.75" hidden="false" customHeight="true" outlineLevel="0" collapsed="false">
      <c r="B6" s="29"/>
      <c r="C6" s="30"/>
      <c r="D6" s="30"/>
      <c r="E6" s="29"/>
      <c r="F6" s="29"/>
      <c r="G6" s="29"/>
      <c r="H6" s="31"/>
      <c r="I6" s="31"/>
      <c r="J6" s="31"/>
      <c r="K6" s="31"/>
      <c r="L6" s="31"/>
      <c r="M6" s="30"/>
      <c r="N6" s="30"/>
      <c r="O6" s="30"/>
      <c r="P6" s="36" t="s">
        <v>27</v>
      </c>
      <c r="Q6" s="36"/>
      <c r="R6" s="37" t="s">
        <v>28</v>
      </c>
      <c r="S6" s="37"/>
      <c r="T6" s="36" t="s">
        <v>27</v>
      </c>
      <c r="U6" s="36"/>
      <c r="V6" s="37" t="s">
        <v>29</v>
      </c>
      <c r="W6" s="37"/>
      <c r="X6" s="30"/>
      <c r="Y6" s="30"/>
      <c r="Z6" s="30"/>
      <c r="AA6" s="30"/>
      <c r="AB6" s="30"/>
      <c r="AC6" s="30"/>
      <c r="AD6" s="30"/>
      <c r="AE6" s="30"/>
      <c r="AF6" s="34"/>
      <c r="AG6" s="34"/>
      <c r="AH6" s="30"/>
      <c r="AI6" s="35"/>
    </row>
    <row r="7" customFormat="false" ht="21" hidden="false" customHeight="false" outlineLevel="0" collapsed="false">
      <c r="B7" s="29"/>
      <c r="C7" s="30"/>
      <c r="D7" s="30"/>
      <c r="E7" s="29"/>
      <c r="F7" s="29"/>
      <c r="G7" s="29"/>
      <c r="H7" s="31"/>
      <c r="I7" s="31"/>
      <c r="J7" s="31"/>
      <c r="K7" s="31"/>
      <c r="L7" s="31"/>
      <c r="M7" s="30"/>
      <c r="N7" s="30"/>
      <c r="O7" s="30"/>
      <c r="P7" s="38" t="s">
        <v>30</v>
      </c>
      <c r="Q7" s="39" t="str">
        <f aca="false">XLRPARAMS_sredntnzadan</f>
        <v>2</v>
      </c>
      <c r="R7" s="37"/>
      <c r="S7" s="37"/>
      <c r="T7" s="40" t="s">
        <v>31</v>
      </c>
      <c r="U7" s="39" t="str">
        <f aca="false">XLRPARAMS_NohTnpfl</f>
        <v>2</v>
      </c>
      <c r="V7" s="37"/>
      <c r="W7" s="37"/>
      <c r="X7" s="30"/>
      <c r="Y7" s="30"/>
      <c r="Z7" s="30"/>
      <c r="AA7" s="30"/>
      <c r="AB7" s="30"/>
      <c r="AC7" s="30"/>
      <c r="AD7" s="30"/>
      <c r="AE7" s="30"/>
      <c r="AF7" s="41"/>
      <c r="AG7" s="41"/>
      <c r="AH7" s="30"/>
      <c r="AI7" s="35"/>
    </row>
    <row r="8" customFormat="false" ht="16.5" hidden="false" customHeight="true" outlineLevel="0" collapsed="false">
      <c r="B8" s="29"/>
      <c r="C8" s="30"/>
      <c r="D8" s="30"/>
      <c r="E8" s="29"/>
      <c r="F8" s="29"/>
      <c r="G8" s="29"/>
      <c r="H8" s="42" t="s">
        <v>32</v>
      </c>
      <c r="I8" s="43" t="s">
        <v>33</v>
      </c>
      <c r="J8" s="43"/>
      <c r="K8" s="44" t="s">
        <v>34</v>
      </c>
      <c r="L8" s="45" t="s">
        <v>35</v>
      </c>
      <c r="M8" s="44" t="s">
        <v>33</v>
      </c>
      <c r="N8" s="44" t="s">
        <v>34</v>
      </c>
      <c r="O8" s="45" t="s">
        <v>35</v>
      </c>
      <c r="P8" s="46" t="s">
        <v>36</v>
      </c>
      <c r="Q8" s="47" t="s">
        <v>37</v>
      </c>
      <c r="R8" s="48" t="s">
        <v>38</v>
      </c>
      <c r="S8" s="49" t="s">
        <v>39</v>
      </c>
      <c r="T8" s="48" t="s">
        <v>40</v>
      </c>
      <c r="U8" s="47" t="s">
        <v>41</v>
      </c>
      <c r="V8" s="50" t="s">
        <v>42</v>
      </c>
      <c r="W8" s="47" t="s">
        <v>43</v>
      </c>
      <c r="X8" s="51" t="s">
        <v>44</v>
      </c>
      <c r="Y8" s="52" t="s">
        <v>45</v>
      </c>
      <c r="Z8" s="53" t="s">
        <v>46</v>
      </c>
      <c r="AA8" s="54" t="s">
        <v>47</v>
      </c>
      <c r="AB8" s="53" t="s">
        <v>48</v>
      </c>
      <c r="AC8" s="55" t="s">
        <v>49</v>
      </c>
      <c r="AD8" s="55"/>
      <c r="AE8" s="55"/>
      <c r="AF8" s="56"/>
      <c r="AG8" s="57"/>
      <c r="AH8" s="58" t="s">
        <v>50</v>
      </c>
      <c r="AI8" s="35"/>
    </row>
    <row r="9" customFormat="false" ht="16.5" hidden="false" customHeight="true" outlineLevel="0" collapsed="false">
      <c r="B9" s="29"/>
      <c r="C9" s="59" t="s">
        <v>51</v>
      </c>
      <c r="D9" s="60" t="s">
        <v>52</v>
      </c>
      <c r="E9" s="29"/>
      <c r="F9" s="29"/>
      <c r="G9" s="29"/>
      <c r="H9" s="42"/>
      <c r="I9" s="61" t="s">
        <v>53</v>
      </c>
      <c r="J9" s="62" t="s">
        <v>54</v>
      </c>
      <c r="K9" s="44"/>
      <c r="L9" s="45"/>
      <c r="M9" s="44"/>
      <c r="N9" s="44"/>
      <c r="O9" s="45"/>
      <c r="P9" s="46"/>
      <c r="Q9" s="47"/>
      <c r="R9" s="48"/>
      <c r="S9" s="49"/>
      <c r="T9" s="48"/>
      <c r="U9" s="47"/>
      <c r="V9" s="50"/>
      <c r="W9" s="47"/>
      <c r="X9" s="51"/>
      <c r="Y9" s="52"/>
      <c r="Z9" s="53"/>
      <c r="AA9" s="54"/>
      <c r="AB9" s="53"/>
      <c r="AC9" s="63" t="s">
        <v>55</v>
      </c>
      <c r="AD9" s="64" t="s">
        <v>56</v>
      </c>
      <c r="AE9" s="65" t="s">
        <v>57</v>
      </c>
      <c r="AF9" s="56"/>
      <c r="AG9" s="57"/>
      <c r="AH9" s="58"/>
      <c r="AI9" s="35"/>
    </row>
    <row r="10" customFormat="false" ht="21.75" hidden="false" customHeight="true" outlineLevel="0" collapsed="false">
      <c r="B10" s="29"/>
      <c r="C10" s="59"/>
      <c r="D10" s="60"/>
      <c r="E10" s="29"/>
      <c r="F10" s="29"/>
      <c r="G10" s="29"/>
      <c r="H10" s="42"/>
      <c r="I10" s="61"/>
      <c r="J10" s="62"/>
      <c r="K10" s="62"/>
      <c r="L10" s="45"/>
      <c r="M10" s="44"/>
      <c r="N10" s="44"/>
      <c r="O10" s="45"/>
      <c r="P10" s="46"/>
      <c r="Q10" s="47"/>
      <c r="R10" s="48"/>
      <c r="S10" s="49"/>
      <c r="T10" s="48"/>
      <c r="U10" s="47"/>
      <c r="V10" s="50"/>
      <c r="W10" s="47"/>
      <c r="X10" s="51"/>
      <c r="Y10" s="52"/>
      <c r="Z10" s="53"/>
      <c r="AA10" s="54"/>
      <c r="AB10" s="53"/>
      <c r="AC10" s="63"/>
      <c r="AD10" s="63"/>
      <c r="AE10" s="65"/>
      <c r="AF10" s="56"/>
      <c r="AG10" s="57"/>
      <c r="AH10" s="58"/>
      <c r="AI10" s="35"/>
    </row>
    <row r="11" customFormat="false" ht="0.75" hidden="false" customHeight="true" outlineLevel="0" collapsed="false">
      <c r="B11" s="31" t="n">
        <v>2</v>
      </c>
      <c r="C11" s="66" t="n">
        <v>3</v>
      </c>
      <c r="D11" s="67" t="n">
        <v>4</v>
      </c>
      <c r="E11" s="31" t="n">
        <v>5</v>
      </c>
      <c r="F11" s="31"/>
      <c r="G11" s="31" t="n">
        <v>6</v>
      </c>
      <c r="H11" s="31" t="n">
        <v>7</v>
      </c>
      <c r="I11" s="68" t="n">
        <v>8</v>
      </c>
      <c r="J11" s="69" t="n">
        <v>9</v>
      </c>
      <c r="K11" s="69" t="n">
        <v>10</v>
      </c>
      <c r="L11" s="70" t="n">
        <v>11</v>
      </c>
      <c r="M11" s="66" t="n">
        <v>12</v>
      </c>
      <c r="N11" s="69" t="n">
        <v>13</v>
      </c>
      <c r="O11" s="71" t="n">
        <v>14</v>
      </c>
      <c r="P11" s="72" t="n">
        <v>15</v>
      </c>
      <c r="Q11" s="73" t="n">
        <v>16</v>
      </c>
      <c r="R11" s="74" t="n">
        <v>17</v>
      </c>
      <c r="S11" s="75" t="n">
        <v>18</v>
      </c>
      <c r="T11" s="74" t="n">
        <v>19</v>
      </c>
      <c r="U11" s="76" t="n">
        <v>20</v>
      </c>
      <c r="V11" s="72" t="n">
        <v>21</v>
      </c>
      <c r="W11" s="73" t="n">
        <v>22</v>
      </c>
      <c r="X11" s="66" t="n">
        <v>23</v>
      </c>
      <c r="Y11" s="77" t="n">
        <v>24</v>
      </c>
      <c r="Z11" s="66" t="n">
        <v>25</v>
      </c>
      <c r="AA11" s="77" t="n">
        <v>26</v>
      </c>
      <c r="AB11" s="66" t="n">
        <v>27</v>
      </c>
      <c r="AC11" s="69" t="n">
        <v>28</v>
      </c>
      <c r="AD11" s="69" t="n">
        <v>29</v>
      </c>
      <c r="AE11" s="77" t="n">
        <v>30</v>
      </c>
      <c r="AF11" s="70"/>
      <c r="AG11" s="78"/>
      <c r="AH11" s="31" t="n">
        <v>31</v>
      </c>
      <c r="AI11" s="31" t="n">
        <v>32</v>
      </c>
    </row>
    <row r="12" customFormat="false" ht="21" hidden="false" customHeight="true" outlineLevel="0" collapsed="false">
      <c r="B12" s="79" t="s">
        <v>58</v>
      </c>
      <c r="C12" s="80" t="s">
        <v>59</v>
      </c>
      <c r="D12" s="81" t="s">
        <v>60</v>
      </c>
      <c r="E12" s="82" t="s">
        <v>61</v>
      </c>
      <c r="F12" s="82"/>
      <c r="G12" s="83" t="n">
        <v>3</v>
      </c>
      <c r="H12" s="83" t="n">
        <v>3</v>
      </c>
      <c r="I12" s="84" t="n">
        <v>2</v>
      </c>
      <c r="J12" s="85" t="n">
        <v>9</v>
      </c>
      <c r="K12" s="85" t="n">
        <v>0</v>
      </c>
      <c r="L12" s="81" t="n">
        <v>1</v>
      </c>
      <c r="M12" s="86" t="n">
        <v>3</v>
      </c>
      <c r="N12" s="85" t="n">
        <v>1</v>
      </c>
      <c r="O12" s="81" t="n">
        <v>0</v>
      </c>
      <c r="P12" s="87" t="n">
        <v>72.4</v>
      </c>
      <c r="Q12" s="88" t="n">
        <v>42.6</v>
      </c>
      <c r="R12" s="87" t="n">
        <v>74</v>
      </c>
      <c r="S12" s="88" t="n">
        <v>43</v>
      </c>
      <c r="T12" s="86" t="n">
        <v>72.4</v>
      </c>
      <c r="U12" s="89" t="n">
        <v>42.6</v>
      </c>
      <c r="V12" s="86" t="n">
        <v>74</v>
      </c>
      <c r="W12" s="81" t="n">
        <v>43</v>
      </c>
      <c r="X12" s="86" t="n">
        <v>7</v>
      </c>
      <c r="Y12" s="81" t="n">
        <v>3</v>
      </c>
      <c r="Z12" s="86" t="n">
        <v>1930</v>
      </c>
      <c r="AA12" s="81" t="n">
        <v>1849</v>
      </c>
      <c r="AB12" s="86" t="n">
        <v>16</v>
      </c>
      <c r="AC12" s="85" t="n">
        <v>26</v>
      </c>
      <c r="AD12" s="85" t="n">
        <v>672</v>
      </c>
      <c r="AE12" s="85" t="n">
        <v>15961</v>
      </c>
      <c r="AF12" s="90" t="s">
        <v>62</v>
      </c>
      <c r="AG12" s="91" t="s">
        <v>62</v>
      </c>
      <c r="AH12" s="83" t="n">
        <v>310</v>
      </c>
      <c r="AI12" s="82" t="n">
        <v>40</v>
      </c>
    </row>
    <row r="13" customFormat="false" ht="21" hidden="false" customHeight="true" outlineLevel="0" collapsed="false">
      <c r="B13" s="79"/>
      <c r="C13" s="80" t="s">
        <v>59</v>
      </c>
      <c r="D13" s="81" t="s">
        <v>60</v>
      </c>
      <c r="E13" s="82" t="s">
        <v>63</v>
      </c>
      <c r="F13" s="82"/>
      <c r="G13" s="83" t="n">
        <v>2.5</v>
      </c>
      <c r="H13" s="83" t="n">
        <v>3</v>
      </c>
      <c r="I13" s="84" t="n">
        <v>3</v>
      </c>
      <c r="J13" s="85" t="n">
        <v>10</v>
      </c>
      <c r="K13" s="85" t="n">
        <v>0</v>
      </c>
      <c r="L13" s="81" t="n">
        <v>0</v>
      </c>
      <c r="M13" s="86" t="n">
        <v>3</v>
      </c>
      <c r="N13" s="85" t="n">
        <v>1</v>
      </c>
      <c r="O13" s="81" t="n">
        <v>0</v>
      </c>
      <c r="P13" s="87" t="n">
        <v>72.4</v>
      </c>
      <c r="Q13" s="88" t="n">
        <v>42.6</v>
      </c>
      <c r="R13" s="87" t="n">
        <v>72</v>
      </c>
      <c r="S13" s="88" t="n">
        <v>42</v>
      </c>
      <c r="T13" s="86" t="n">
        <v>72.4</v>
      </c>
      <c r="U13" s="89" t="n">
        <v>42.6</v>
      </c>
      <c r="V13" s="86" t="n">
        <v>72</v>
      </c>
      <c r="W13" s="81" t="n">
        <v>42</v>
      </c>
      <c r="X13" s="86" t="n">
        <v>8</v>
      </c>
      <c r="Y13" s="81" t="n">
        <v>3.9</v>
      </c>
      <c r="Z13" s="86" t="n">
        <v>2000</v>
      </c>
      <c r="AA13" s="81" t="n">
        <v>2280</v>
      </c>
      <c r="AB13" s="86" t="n">
        <v>18.1</v>
      </c>
      <c r="AC13" s="85" t="n">
        <v>29</v>
      </c>
      <c r="AD13" s="85" t="n">
        <v>720</v>
      </c>
      <c r="AE13" s="85" t="n">
        <v>24212</v>
      </c>
      <c r="AF13" s="90" t="s">
        <v>62</v>
      </c>
      <c r="AG13" s="91" t="s">
        <v>62</v>
      </c>
      <c r="AH13" s="83" t="n">
        <v>140</v>
      </c>
      <c r="AI13" s="82" t="n">
        <v>35</v>
      </c>
    </row>
    <row r="14" customFormat="false" ht="21" hidden="false" customHeight="true" outlineLevel="0" collapsed="false">
      <c r="B14" s="79"/>
      <c r="C14" s="80" t="s">
        <v>64</v>
      </c>
      <c r="D14" s="81" t="s">
        <v>60</v>
      </c>
      <c r="E14" s="82" t="s">
        <v>65</v>
      </c>
      <c r="F14" s="82"/>
      <c r="G14" s="83" t="n">
        <v>2.5</v>
      </c>
      <c r="H14" s="83" t="n">
        <v>3</v>
      </c>
      <c r="I14" s="84" t="n">
        <v>1</v>
      </c>
      <c r="J14" s="85" t="n">
        <v>1</v>
      </c>
      <c r="K14" s="85" t="n">
        <v>2</v>
      </c>
      <c r="L14" s="81" t="n">
        <v>0</v>
      </c>
      <c r="M14" s="86" t="n">
        <v>2</v>
      </c>
      <c r="N14" s="85" t="n">
        <v>2</v>
      </c>
      <c r="O14" s="81" t="n">
        <v>0</v>
      </c>
      <c r="P14" s="87" t="n">
        <v>64.9</v>
      </c>
      <c r="Q14" s="88" t="n">
        <v>42.6</v>
      </c>
      <c r="R14" s="87" t="n">
        <v>58</v>
      </c>
      <c r="S14" s="88" t="n">
        <v>37</v>
      </c>
      <c r="T14" s="86" t="n">
        <v>64.9</v>
      </c>
      <c r="U14" s="89" t="n">
        <v>42.6</v>
      </c>
      <c r="V14" s="86" t="n">
        <v>65</v>
      </c>
      <c r="W14" s="81" t="n">
        <v>40</v>
      </c>
      <c r="X14" s="86" t="n">
        <v>4.1</v>
      </c>
      <c r="Y14" s="81" t="n">
        <v>1.9</v>
      </c>
      <c r="Z14" s="86" t="n">
        <v>102</v>
      </c>
      <c r="AA14" s="91" t="s">
        <v>62</v>
      </c>
      <c r="AB14" s="86" t="n">
        <v>1.47</v>
      </c>
      <c r="AC14" s="85" t="n">
        <v>1.5</v>
      </c>
      <c r="AD14" s="85" t="n">
        <v>39</v>
      </c>
      <c r="AE14" s="85" t="n">
        <v>1304</v>
      </c>
      <c r="AF14" s="90" t="s">
        <v>62</v>
      </c>
      <c r="AG14" s="91" t="s">
        <v>62</v>
      </c>
      <c r="AH14" s="92" t="s">
        <v>62</v>
      </c>
      <c r="AI14" s="93" t="s">
        <v>62</v>
      </c>
    </row>
    <row r="15" customFormat="false" ht="21" hidden="false" customHeight="true" outlineLevel="0" collapsed="false">
      <c r="B15" s="79"/>
      <c r="C15" s="80" t="s">
        <v>66</v>
      </c>
      <c r="D15" s="81" t="s">
        <v>60</v>
      </c>
      <c r="E15" s="82" t="s">
        <v>67</v>
      </c>
      <c r="F15" s="82"/>
      <c r="G15" s="83" t="n">
        <v>2.9</v>
      </c>
      <c r="H15" s="83" t="n">
        <v>3</v>
      </c>
      <c r="I15" s="84" t="n">
        <v>2</v>
      </c>
      <c r="J15" s="85" t="n">
        <v>2</v>
      </c>
      <c r="K15" s="85" t="n">
        <v>1</v>
      </c>
      <c r="L15" s="81" t="n">
        <v>0</v>
      </c>
      <c r="M15" s="86" t="n">
        <v>1</v>
      </c>
      <c r="N15" s="85" t="n">
        <v>4</v>
      </c>
      <c r="O15" s="81" t="n">
        <v>0</v>
      </c>
      <c r="P15" s="87" t="n">
        <v>61.2</v>
      </c>
      <c r="Q15" s="88" t="n">
        <v>42.6</v>
      </c>
      <c r="R15" s="87" t="n">
        <v>66</v>
      </c>
      <c r="S15" s="88" t="n">
        <v>45</v>
      </c>
      <c r="T15" s="86" t="n">
        <v>61.2</v>
      </c>
      <c r="U15" s="89" t="n">
        <v>42.6</v>
      </c>
      <c r="V15" s="86" t="n">
        <v>63</v>
      </c>
      <c r="W15" s="81" t="n">
        <v>44</v>
      </c>
      <c r="X15" s="86" t="n">
        <v>7.8</v>
      </c>
      <c r="Y15" s="81" t="n">
        <v>4</v>
      </c>
      <c r="Z15" s="86" t="n">
        <v>338</v>
      </c>
      <c r="AA15" s="91" t="s">
        <v>62</v>
      </c>
      <c r="AB15" s="86" t="n">
        <v>2.66</v>
      </c>
      <c r="AC15" s="85" t="n">
        <v>14</v>
      </c>
      <c r="AD15" s="85" t="n">
        <v>336</v>
      </c>
      <c r="AE15" s="85" t="n">
        <v>9420</v>
      </c>
      <c r="AF15" s="90" t="s">
        <v>62</v>
      </c>
      <c r="AG15" s="91" t="s">
        <v>62</v>
      </c>
      <c r="AH15" s="83" t="n">
        <v>40</v>
      </c>
      <c r="AI15" s="82" t="n">
        <v>40</v>
      </c>
    </row>
    <row r="16" customFormat="false" ht="21" hidden="false" customHeight="true" outlineLevel="0" collapsed="false">
      <c r="B16" s="79"/>
      <c r="C16" s="80" t="s">
        <v>64</v>
      </c>
      <c r="D16" s="81" t="s">
        <v>60</v>
      </c>
      <c r="E16" s="82" t="s">
        <v>68</v>
      </c>
      <c r="F16" s="82"/>
      <c r="G16" s="83" t="n">
        <v>2.9</v>
      </c>
      <c r="H16" s="83" t="n">
        <v>6</v>
      </c>
      <c r="I16" s="84" t="n">
        <v>1</v>
      </c>
      <c r="J16" s="85" t="n">
        <v>2</v>
      </c>
      <c r="K16" s="85" t="n">
        <v>5</v>
      </c>
      <c r="L16" s="81" t="n">
        <v>0</v>
      </c>
      <c r="M16" s="86" t="n">
        <v>1</v>
      </c>
      <c r="N16" s="85" t="n">
        <v>1</v>
      </c>
      <c r="O16" s="81" t="n">
        <v>0</v>
      </c>
      <c r="P16" s="87" t="n">
        <v>64.9</v>
      </c>
      <c r="Q16" s="88" t="n">
        <v>42.6</v>
      </c>
      <c r="R16" s="87" t="n">
        <v>62</v>
      </c>
      <c r="S16" s="88" t="n">
        <v>42</v>
      </c>
      <c r="T16" s="86" t="n">
        <v>64.9</v>
      </c>
      <c r="U16" s="89" t="n">
        <v>42.6</v>
      </c>
      <c r="V16" s="86" t="n">
        <v>62</v>
      </c>
      <c r="W16" s="81" t="n">
        <v>42</v>
      </c>
      <c r="X16" s="86" t="n">
        <v>5.4</v>
      </c>
      <c r="Y16" s="81" t="n">
        <v>2</v>
      </c>
      <c r="Z16" s="86" t="n">
        <v>150</v>
      </c>
      <c r="AA16" s="81" t="n">
        <v>219</v>
      </c>
      <c r="AB16" s="86" t="n">
        <v>1.38</v>
      </c>
      <c r="AC16" s="85" t="n">
        <v>2</v>
      </c>
      <c r="AD16" s="85" t="n">
        <v>48</v>
      </c>
      <c r="AE16" s="85" t="n">
        <v>1644</v>
      </c>
      <c r="AF16" s="90" t="s">
        <v>62</v>
      </c>
      <c r="AG16" s="91" t="s">
        <v>62</v>
      </c>
      <c r="AH16" s="83" t="n">
        <v>100</v>
      </c>
      <c r="AI16" s="82" t="n">
        <v>40</v>
      </c>
    </row>
    <row r="17" customFormat="false" ht="21" hidden="false" customHeight="true" outlineLevel="0" collapsed="false">
      <c r="B17" s="94" t="s">
        <v>69</v>
      </c>
      <c r="C17" s="80" t="s">
        <v>59</v>
      </c>
      <c r="D17" s="81" t="s">
        <v>60</v>
      </c>
      <c r="E17" s="82" t="s">
        <v>70</v>
      </c>
      <c r="F17" s="82"/>
      <c r="G17" s="83" t="n">
        <v>2.4</v>
      </c>
      <c r="H17" s="83" t="n">
        <v>3</v>
      </c>
      <c r="I17" s="84" t="n">
        <v>3</v>
      </c>
      <c r="J17" s="85" t="n">
        <v>10</v>
      </c>
      <c r="K17" s="85" t="n">
        <v>0</v>
      </c>
      <c r="L17" s="81" t="n">
        <v>0</v>
      </c>
      <c r="M17" s="86" t="n">
        <v>3</v>
      </c>
      <c r="N17" s="85" t="n">
        <v>1</v>
      </c>
      <c r="O17" s="81" t="n">
        <v>0</v>
      </c>
      <c r="P17" s="87" t="n">
        <v>72.4</v>
      </c>
      <c r="Q17" s="88" t="n">
        <v>42.6</v>
      </c>
      <c r="R17" s="87" t="n">
        <v>74</v>
      </c>
      <c r="S17" s="88" t="n">
        <v>49.3</v>
      </c>
      <c r="T17" s="86" t="n">
        <v>72.4</v>
      </c>
      <c r="U17" s="89" t="n">
        <v>42.6</v>
      </c>
      <c r="V17" s="86" t="n">
        <v>73</v>
      </c>
      <c r="W17" s="81" t="n">
        <v>50</v>
      </c>
      <c r="X17" s="86" t="n">
        <v>8</v>
      </c>
      <c r="Y17" s="81" t="n">
        <v>4</v>
      </c>
      <c r="Z17" s="86" t="n">
        <v>1951</v>
      </c>
      <c r="AA17" s="81" t="n">
        <v>1995</v>
      </c>
      <c r="AB17" s="86" t="n">
        <v>21.5</v>
      </c>
      <c r="AC17" s="85" t="n">
        <v>20</v>
      </c>
      <c r="AD17" s="85" t="n">
        <v>451</v>
      </c>
      <c r="AE17" s="85" t="n">
        <v>16007</v>
      </c>
      <c r="AF17" s="90" t="s">
        <v>62</v>
      </c>
      <c r="AG17" s="91" t="s">
        <v>62</v>
      </c>
      <c r="AH17" s="83" t="n">
        <v>70</v>
      </c>
      <c r="AI17" s="82" t="n">
        <v>40</v>
      </c>
    </row>
    <row r="18" customFormat="false" ht="21" hidden="false" customHeight="true" outlineLevel="0" collapsed="false">
      <c r="B18" s="94"/>
      <c r="C18" s="80" t="s">
        <v>59</v>
      </c>
      <c r="D18" s="81" t="s">
        <v>60</v>
      </c>
      <c r="E18" s="82" t="s">
        <v>71</v>
      </c>
      <c r="F18" s="82"/>
      <c r="G18" s="83" t="n">
        <v>2.6</v>
      </c>
      <c r="H18" s="83" t="n">
        <v>3</v>
      </c>
      <c r="I18" s="84" t="n">
        <v>2</v>
      </c>
      <c r="J18" s="85" t="n">
        <v>4</v>
      </c>
      <c r="K18" s="85" t="n">
        <v>0</v>
      </c>
      <c r="L18" s="81" t="n">
        <v>1</v>
      </c>
      <c r="M18" s="86" t="n">
        <v>2</v>
      </c>
      <c r="N18" s="85" t="n">
        <v>2</v>
      </c>
      <c r="O18" s="81" t="n">
        <v>0</v>
      </c>
      <c r="P18" s="87" t="n">
        <v>72.4</v>
      </c>
      <c r="Q18" s="88" t="n">
        <v>42.6</v>
      </c>
      <c r="R18" s="87" t="n">
        <v>77</v>
      </c>
      <c r="S18" s="88" t="n">
        <v>47.8</v>
      </c>
      <c r="T18" s="86" t="n">
        <v>72.4</v>
      </c>
      <c r="U18" s="89" t="n">
        <v>42.6</v>
      </c>
      <c r="V18" s="86" t="n">
        <v>74</v>
      </c>
      <c r="W18" s="81" t="n">
        <v>48</v>
      </c>
      <c r="X18" s="86" t="n">
        <v>8.3</v>
      </c>
      <c r="Y18" s="81" t="n">
        <v>3.6</v>
      </c>
      <c r="Z18" s="86" t="n">
        <v>914</v>
      </c>
      <c r="AA18" s="81" t="n">
        <v>890</v>
      </c>
      <c r="AB18" s="86" t="n">
        <v>13.8</v>
      </c>
      <c r="AC18" s="85" t="n">
        <v>6.3</v>
      </c>
      <c r="AD18" s="85" t="n">
        <v>158</v>
      </c>
      <c r="AE18" s="85" t="n">
        <v>4756</v>
      </c>
      <c r="AF18" s="90" t="s">
        <v>62</v>
      </c>
      <c r="AG18" s="91" t="s">
        <v>62</v>
      </c>
      <c r="AH18" s="83" t="n">
        <v>270</v>
      </c>
      <c r="AI18" s="82" t="n">
        <v>35</v>
      </c>
    </row>
    <row r="19" customFormat="false" ht="21" hidden="false" customHeight="true" outlineLevel="0" collapsed="false">
      <c r="B19" s="94"/>
      <c r="C19" s="80" t="s">
        <v>66</v>
      </c>
      <c r="D19" s="81" t="s">
        <v>60</v>
      </c>
      <c r="E19" s="82" t="s">
        <v>72</v>
      </c>
      <c r="F19" s="82"/>
      <c r="G19" s="83" t="n">
        <v>2.6</v>
      </c>
      <c r="H19" s="83" t="n">
        <v>3</v>
      </c>
      <c r="I19" s="84" t="n">
        <v>1</v>
      </c>
      <c r="J19" s="85" t="n">
        <v>2</v>
      </c>
      <c r="K19" s="85" t="n">
        <v>2</v>
      </c>
      <c r="L19" s="81" t="n">
        <v>0</v>
      </c>
      <c r="M19" s="86" t="n">
        <v>1</v>
      </c>
      <c r="N19" s="85" t="n">
        <v>2</v>
      </c>
      <c r="O19" s="81" t="n">
        <v>0</v>
      </c>
      <c r="P19" s="87" t="n">
        <v>61.2</v>
      </c>
      <c r="Q19" s="88" t="n">
        <v>42.6</v>
      </c>
      <c r="R19" s="87" t="n">
        <v>63.4</v>
      </c>
      <c r="S19" s="88" t="n">
        <v>45.3</v>
      </c>
      <c r="T19" s="86" t="n">
        <v>61.2</v>
      </c>
      <c r="U19" s="89" t="n">
        <v>42.6</v>
      </c>
      <c r="V19" s="86" t="n">
        <v>63</v>
      </c>
      <c r="W19" s="81" t="n">
        <v>44</v>
      </c>
      <c r="X19" s="86" t="n">
        <v>5.8</v>
      </c>
      <c r="Y19" s="81" t="n">
        <v>3.5</v>
      </c>
      <c r="Z19" s="86" t="n">
        <v>179</v>
      </c>
      <c r="AA19" s="91" t="s">
        <v>62</v>
      </c>
      <c r="AB19" s="86" t="n">
        <v>0.7</v>
      </c>
      <c r="AC19" s="85" t="n">
        <v>1.7</v>
      </c>
      <c r="AD19" s="85" t="n">
        <v>50</v>
      </c>
      <c r="AE19" s="85" t="n">
        <v>1300</v>
      </c>
      <c r="AF19" s="90" t="s">
        <v>62</v>
      </c>
      <c r="AG19" s="91" t="s">
        <v>62</v>
      </c>
      <c r="AH19" s="83" t="n">
        <v>90</v>
      </c>
      <c r="AI19" s="82" t="n">
        <v>40</v>
      </c>
    </row>
    <row r="20" customFormat="false" ht="21" hidden="false" customHeight="true" outlineLevel="0" collapsed="false">
      <c r="B20" s="94"/>
      <c r="C20" s="80" t="s">
        <v>59</v>
      </c>
      <c r="D20" s="81" t="s">
        <v>60</v>
      </c>
      <c r="E20" s="82" t="s">
        <v>73</v>
      </c>
      <c r="F20" s="82"/>
      <c r="G20" s="83" t="n">
        <v>2.5</v>
      </c>
      <c r="H20" s="83" t="n">
        <v>3</v>
      </c>
      <c r="I20" s="84" t="n">
        <v>2</v>
      </c>
      <c r="J20" s="85" t="n">
        <v>4</v>
      </c>
      <c r="K20" s="85" t="n">
        <v>0</v>
      </c>
      <c r="L20" s="81" t="n">
        <v>1</v>
      </c>
      <c r="M20" s="86" t="n">
        <v>2</v>
      </c>
      <c r="N20" s="85" t="n">
        <v>1</v>
      </c>
      <c r="O20" s="81" t="n">
        <v>0</v>
      </c>
      <c r="P20" s="87" t="n">
        <v>72.4</v>
      </c>
      <c r="Q20" s="88" t="n">
        <v>42.6</v>
      </c>
      <c r="R20" s="87" t="n">
        <v>74.5</v>
      </c>
      <c r="S20" s="88" t="n">
        <v>47.1</v>
      </c>
      <c r="T20" s="86" t="n">
        <v>72.4</v>
      </c>
      <c r="U20" s="89" t="n">
        <v>42.6</v>
      </c>
      <c r="V20" s="86" t="n">
        <v>74</v>
      </c>
      <c r="W20" s="81" t="n">
        <v>49.2</v>
      </c>
      <c r="X20" s="86" t="n">
        <v>10.5</v>
      </c>
      <c r="Y20" s="81" t="n">
        <v>4</v>
      </c>
      <c r="Z20" s="86" t="n">
        <v>1040</v>
      </c>
      <c r="AA20" s="81" t="n">
        <v>1070</v>
      </c>
      <c r="AB20" s="86" t="n">
        <v>14.3</v>
      </c>
      <c r="AC20" s="85" t="n">
        <v>8</v>
      </c>
      <c r="AD20" s="85" t="n">
        <v>238</v>
      </c>
      <c r="AE20" s="85" t="n">
        <v>6352</v>
      </c>
      <c r="AF20" s="90" t="s">
        <v>62</v>
      </c>
      <c r="AG20" s="91" t="s">
        <v>62</v>
      </c>
      <c r="AH20" s="83" t="n">
        <v>360</v>
      </c>
      <c r="AI20" s="82" t="n">
        <v>30</v>
      </c>
    </row>
    <row r="21" customFormat="false" ht="21" hidden="false" customHeight="true" outlineLevel="0" collapsed="false">
      <c r="B21" s="94"/>
      <c r="C21" s="80" t="s">
        <v>74</v>
      </c>
      <c r="D21" s="81" t="s">
        <v>60</v>
      </c>
      <c r="E21" s="82" t="s">
        <v>75</v>
      </c>
      <c r="F21" s="82"/>
      <c r="G21" s="83" t="n">
        <v>2.5</v>
      </c>
      <c r="H21" s="83" t="n">
        <v>7</v>
      </c>
      <c r="I21" s="84" t="n">
        <v>4</v>
      </c>
      <c r="J21" s="85" t="n">
        <v>4</v>
      </c>
      <c r="K21" s="85" t="n">
        <v>3</v>
      </c>
      <c r="L21" s="81" t="n">
        <v>0</v>
      </c>
      <c r="M21" s="86" t="n">
        <v>2</v>
      </c>
      <c r="N21" s="85" t="n">
        <v>2</v>
      </c>
      <c r="O21" s="81" t="n">
        <v>0</v>
      </c>
      <c r="P21" s="87" t="n">
        <v>70</v>
      </c>
      <c r="Q21" s="88" t="n">
        <v>50.1</v>
      </c>
      <c r="R21" s="87" t="n">
        <v>70</v>
      </c>
      <c r="S21" s="88" t="n">
        <v>46.2</v>
      </c>
      <c r="T21" s="86" t="n">
        <v>70</v>
      </c>
      <c r="U21" s="89" t="n">
        <v>50.1</v>
      </c>
      <c r="V21" s="86" t="n">
        <v>70</v>
      </c>
      <c r="W21" s="81" t="n">
        <v>48</v>
      </c>
      <c r="X21" s="86" t="n">
        <v>6.5</v>
      </c>
      <c r="Y21" s="81" t="n">
        <v>2.3</v>
      </c>
      <c r="Z21" s="86" t="n">
        <v>545</v>
      </c>
      <c r="AA21" s="81" t="n">
        <v>560</v>
      </c>
      <c r="AB21" s="86" t="n">
        <v>2.4</v>
      </c>
      <c r="AC21" s="90" t="s">
        <v>62</v>
      </c>
      <c r="AD21" s="90" t="s">
        <v>62</v>
      </c>
      <c r="AE21" s="90" t="s">
        <v>62</v>
      </c>
      <c r="AF21" s="90" t="s">
        <v>62</v>
      </c>
      <c r="AG21" s="91" t="s">
        <v>62</v>
      </c>
      <c r="AH21" s="83" t="n">
        <v>150</v>
      </c>
      <c r="AI21" s="82" t="n">
        <v>30</v>
      </c>
    </row>
    <row r="22" customFormat="false" ht="21" hidden="false" customHeight="true" outlineLevel="0" collapsed="false">
      <c r="B22" s="94"/>
      <c r="C22" s="80" t="s">
        <v>76</v>
      </c>
      <c r="D22" s="81" t="s">
        <v>60</v>
      </c>
      <c r="E22" s="82" t="s">
        <v>77</v>
      </c>
      <c r="F22" s="82"/>
      <c r="G22" s="92" t="s">
        <v>62</v>
      </c>
      <c r="H22" s="83" t="n">
        <v>3</v>
      </c>
      <c r="I22" s="95" t="s">
        <v>62</v>
      </c>
      <c r="J22" s="90" t="s">
        <v>62</v>
      </c>
      <c r="K22" s="90" t="s">
        <v>62</v>
      </c>
      <c r="L22" s="91" t="s">
        <v>62</v>
      </c>
      <c r="M22" s="96" t="s">
        <v>62</v>
      </c>
      <c r="N22" s="90" t="s">
        <v>62</v>
      </c>
      <c r="O22" s="91" t="s">
        <v>62</v>
      </c>
      <c r="P22" s="87" t="n">
        <v>51.9</v>
      </c>
      <c r="Q22" s="88" t="n">
        <v>42.6</v>
      </c>
      <c r="R22" s="87" t="n">
        <v>44.3</v>
      </c>
      <c r="S22" s="88" t="n">
        <v>33</v>
      </c>
      <c r="T22" s="86" t="n">
        <v>51.9</v>
      </c>
      <c r="U22" s="89" t="n">
        <v>42.6</v>
      </c>
      <c r="V22" s="86" t="n">
        <v>51</v>
      </c>
      <c r="W22" s="81" t="n">
        <v>35</v>
      </c>
      <c r="X22" s="86" t="n">
        <v>3.9</v>
      </c>
      <c r="Y22" s="81" t="n">
        <v>3.3</v>
      </c>
      <c r="Z22" s="86" t="n">
        <v>144</v>
      </c>
      <c r="AA22" s="91" t="s">
        <v>62</v>
      </c>
      <c r="AB22" s="86" t="n">
        <v>0.33</v>
      </c>
      <c r="AC22" s="90" t="s">
        <v>62</v>
      </c>
      <c r="AD22" s="90" t="s">
        <v>62</v>
      </c>
      <c r="AE22" s="90" t="s">
        <v>62</v>
      </c>
      <c r="AF22" s="90" t="s">
        <v>62</v>
      </c>
      <c r="AG22" s="91" t="s">
        <v>62</v>
      </c>
      <c r="AH22" s="92" t="s">
        <v>62</v>
      </c>
      <c r="AI22" s="93" t="s">
        <v>62</v>
      </c>
    </row>
    <row r="23" customFormat="false" ht="21" hidden="false" customHeight="true" outlineLevel="0" collapsed="false">
      <c r="B23" s="94" t="s">
        <v>78</v>
      </c>
      <c r="C23" s="80" t="s">
        <v>59</v>
      </c>
      <c r="D23" s="81" t="s">
        <v>60</v>
      </c>
      <c r="E23" s="82" t="s">
        <v>79</v>
      </c>
      <c r="F23" s="82"/>
      <c r="G23" s="83" t="n">
        <v>2.6</v>
      </c>
      <c r="H23" s="83" t="n">
        <v>3</v>
      </c>
      <c r="I23" s="84" t="n">
        <v>3</v>
      </c>
      <c r="J23" s="85" t="n">
        <v>8</v>
      </c>
      <c r="K23" s="85" t="n">
        <v>0</v>
      </c>
      <c r="L23" s="81" t="n">
        <v>0</v>
      </c>
      <c r="M23" s="86" t="n">
        <v>2</v>
      </c>
      <c r="N23" s="85" t="n">
        <v>2</v>
      </c>
      <c r="O23" s="81" t="n">
        <v>1</v>
      </c>
      <c r="P23" s="87" t="n">
        <v>72.4</v>
      </c>
      <c r="Q23" s="88" t="n">
        <v>42.6</v>
      </c>
      <c r="R23" s="87" t="n">
        <v>75</v>
      </c>
      <c r="S23" s="88" t="n">
        <v>47</v>
      </c>
      <c r="T23" s="86" t="n">
        <v>72.4</v>
      </c>
      <c r="U23" s="89" t="n">
        <v>42.6</v>
      </c>
      <c r="V23" s="86" t="n">
        <v>74</v>
      </c>
      <c r="W23" s="81" t="n">
        <v>46</v>
      </c>
      <c r="X23" s="86" t="n">
        <v>8.5</v>
      </c>
      <c r="Y23" s="81" t="n">
        <v>1.2</v>
      </c>
      <c r="Z23" s="86" t="n">
        <v>2490</v>
      </c>
      <c r="AA23" s="81" t="n">
        <v>2475</v>
      </c>
      <c r="AB23" s="86" t="n">
        <v>29.3</v>
      </c>
      <c r="AC23" s="85" t="n">
        <v>26</v>
      </c>
      <c r="AD23" s="85" t="n">
        <v>1069</v>
      </c>
      <c r="AE23" s="85" t="n">
        <v>23030</v>
      </c>
      <c r="AF23" s="90" t="s">
        <v>62</v>
      </c>
      <c r="AG23" s="91" t="s">
        <v>62</v>
      </c>
      <c r="AH23" s="83" t="n">
        <v>140</v>
      </c>
      <c r="AI23" s="82" t="n">
        <v>30</v>
      </c>
    </row>
    <row r="24" customFormat="false" ht="21" hidden="false" customHeight="true" outlineLevel="0" collapsed="false">
      <c r="B24" s="94"/>
      <c r="C24" s="80" t="s">
        <v>59</v>
      </c>
      <c r="D24" s="81" t="s">
        <v>60</v>
      </c>
      <c r="E24" s="82" t="s">
        <v>80</v>
      </c>
      <c r="F24" s="82"/>
      <c r="G24" s="83" t="n">
        <v>2.1</v>
      </c>
      <c r="H24" s="83" t="n">
        <v>5</v>
      </c>
      <c r="I24" s="84" t="n">
        <v>3</v>
      </c>
      <c r="J24" s="85" t="n">
        <v>9</v>
      </c>
      <c r="K24" s="85" t="n">
        <v>2</v>
      </c>
      <c r="L24" s="81" t="n">
        <v>0</v>
      </c>
      <c r="M24" s="86" t="n">
        <v>2</v>
      </c>
      <c r="N24" s="85" t="n">
        <v>2</v>
      </c>
      <c r="O24" s="81" t="n">
        <v>1</v>
      </c>
      <c r="P24" s="87" t="n">
        <v>72.4</v>
      </c>
      <c r="Q24" s="88" t="n">
        <v>42.6</v>
      </c>
      <c r="R24" s="87" t="n">
        <v>75</v>
      </c>
      <c r="S24" s="88" t="n">
        <v>53</v>
      </c>
      <c r="T24" s="86" t="n">
        <v>72.4</v>
      </c>
      <c r="U24" s="89" t="n">
        <v>42.6</v>
      </c>
      <c r="V24" s="86" t="n">
        <v>74</v>
      </c>
      <c r="W24" s="81" t="n">
        <v>51</v>
      </c>
      <c r="X24" s="86" t="n">
        <v>11</v>
      </c>
      <c r="Y24" s="81" t="n">
        <v>5.6</v>
      </c>
      <c r="Z24" s="86" t="n">
        <v>1371</v>
      </c>
      <c r="AA24" s="81" t="n">
        <v>1600</v>
      </c>
      <c r="AB24" s="86" t="n">
        <v>13</v>
      </c>
      <c r="AC24" s="85" t="n">
        <v>10</v>
      </c>
      <c r="AD24" s="85" t="n">
        <v>290</v>
      </c>
      <c r="AE24" s="85" t="n">
        <v>7415</v>
      </c>
      <c r="AF24" s="90" t="s">
        <v>62</v>
      </c>
      <c r="AG24" s="91" t="s">
        <v>62</v>
      </c>
      <c r="AH24" s="83" t="n">
        <v>110</v>
      </c>
      <c r="AI24" s="82" t="n">
        <v>30</v>
      </c>
    </row>
    <row r="25" customFormat="false" ht="21" hidden="false" customHeight="true" outlineLevel="0" collapsed="false">
      <c r="B25" s="94"/>
      <c r="C25" s="80" t="s">
        <v>64</v>
      </c>
      <c r="D25" s="81" t="s">
        <v>60</v>
      </c>
      <c r="E25" s="82" t="s">
        <v>81</v>
      </c>
      <c r="F25" s="82"/>
      <c r="G25" s="83" t="n">
        <v>2.7</v>
      </c>
      <c r="H25" s="83" t="n">
        <v>3</v>
      </c>
      <c r="I25" s="84" t="n">
        <v>2</v>
      </c>
      <c r="J25" s="85" t="n">
        <v>4</v>
      </c>
      <c r="K25" s="85" t="n">
        <v>1</v>
      </c>
      <c r="L25" s="81" t="n">
        <v>0</v>
      </c>
      <c r="M25" s="86" t="n">
        <v>1</v>
      </c>
      <c r="N25" s="85" t="n">
        <v>2</v>
      </c>
      <c r="O25" s="81" t="n">
        <v>0</v>
      </c>
      <c r="P25" s="87" t="n">
        <v>70</v>
      </c>
      <c r="Q25" s="88" t="n">
        <v>45.9</v>
      </c>
      <c r="R25" s="87" t="n">
        <v>73</v>
      </c>
      <c r="S25" s="88" t="n">
        <v>46</v>
      </c>
      <c r="T25" s="86" t="n">
        <v>70</v>
      </c>
      <c r="U25" s="89" t="n">
        <v>45.9</v>
      </c>
      <c r="V25" s="86" t="n">
        <v>72</v>
      </c>
      <c r="W25" s="81" t="n">
        <v>45</v>
      </c>
      <c r="X25" s="86" t="n">
        <v>6.4</v>
      </c>
      <c r="Y25" s="81" t="n">
        <v>3</v>
      </c>
      <c r="Z25" s="86" t="n">
        <v>192</v>
      </c>
      <c r="AA25" s="81" t="n">
        <v>240</v>
      </c>
      <c r="AB25" s="86" t="n">
        <v>2.5</v>
      </c>
      <c r="AC25" s="85" t="n">
        <v>0.3</v>
      </c>
      <c r="AD25" s="85" t="n">
        <v>14</v>
      </c>
      <c r="AE25" s="85" t="n">
        <v>506</v>
      </c>
      <c r="AF25" s="90" t="s">
        <v>62</v>
      </c>
      <c r="AG25" s="91" t="s">
        <v>62</v>
      </c>
      <c r="AH25" s="83" t="n">
        <v>40</v>
      </c>
      <c r="AI25" s="82" t="n">
        <v>40</v>
      </c>
    </row>
    <row r="26" customFormat="false" ht="21" hidden="false" customHeight="true" outlineLevel="0" collapsed="false">
      <c r="B26" s="94"/>
      <c r="C26" s="80" t="s">
        <v>59</v>
      </c>
      <c r="D26" s="81" t="s">
        <v>60</v>
      </c>
      <c r="E26" s="82" t="s">
        <v>82</v>
      </c>
      <c r="F26" s="82"/>
      <c r="G26" s="83" t="n">
        <v>2.8</v>
      </c>
      <c r="H26" s="83" t="n">
        <v>3</v>
      </c>
      <c r="I26" s="84" t="n">
        <v>2</v>
      </c>
      <c r="J26" s="85" t="n">
        <v>2</v>
      </c>
      <c r="K26" s="85" t="n">
        <v>0</v>
      </c>
      <c r="L26" s="81" t="n">
        <v>1</v>
      </c>
      <c r="M26" s="86" t="n">
        <v>3</v>
      </c>
      <c r="N26" s="85" t="n">
        <v>2</v>
      </c>
      <c r="O26" s="81" t="n">
        <v>0</v>
      </c>
      <c r="P26" s="87" t="n">
        <v>72.4</v>
      </c>
      <c r="Q26" s="88" t="n">
        <v>42.6</v>
      </c>
      <c r="R26" s="87" t="n">
        <v>75</v>
      </c>
      <c r="S26" s="88" t="n">
        <v>45</v>
      </c>
      <c r="T26" s="86" t="n">
        <v>72.4</v>
      </c>
      <c r="U26" s="89" t="n">
        <v>42.6</v>
      </c>
      <c r="V26" s="86" t="n">
        <v>74</v>
      </c>
      <c r="W26" s="81" t="n">
        <v>44</v>
      </c>
      <c r="X26" s="86" t="n">
        <v>6</v>
      </c>
      <c r="Y26" s="81" t="n">
        <v>3.9</v>
      </c>
      <c r="Z26" s="86" t="n">
        <v>266</v>
      </c>
      <c r="AA26" s="81" t="n">
        <v>225</v>
      </c>
      <c r="AB26" s="86" t="n">
        <v>1.4</v>
      </c>
      <c r="AC26" s="85" t="n">
        <v>0.3</v>
      </c>
      <c r="AD26" s="85" t="n">
        <v>8</v>
      </c>
      <c r="AE26" s="85" t="n">
        <v>211</v>
      </c>
      <c r="AF26" s="90" t="s">
        <v>62</v>
      </c>
      <c r="AG26" s="91" t="s">
        <v>62</v>
      </c>
      <c r="AH26" s="92" t="s">
        <v>83</v>
      </c>
      <c r="AI26" s="82" t="n">
        <v>30</v>
      </c>
    </row>
    <row r="27" customFormat="false" ht="21" hidden="false" customHeight="true" outlineLevel="0" collapsed="false">
      <c r="B27" s="94" t="s">
        <v>84</v>
      </c>
      <c r="C27" s="80" t="s">
        <v>64</v>
      </c>
      <c r="D27" s="81" t="s">
        <v>60</v>
      </c>
      <c r="E27" s="82" t="s">
        <v>85</v>
      </c>
      <c r="F27" s="82"/>
      <c r="G27" s="83" t="n">
        <v>2.6</v>
      </c>
      <c r="H27" s="83" t="n">
        <v>3</v>
      </c>
      <c r="I27" s="84" t="n">
        <v>2</v>
      </c>
      <c r="J27" s="85" t="n">
        <v>10</v>
      </c>
      <c r="K27" s="85" t="n">
        <v>1</v>
      </c>
      <c r="L27" s="81" t="n">
        <v>0</v>
      </c>
      <c r="M27" s="86" t="n">
        <v>3</v>
      </c>
      <c r="N27" s="85" t="n">
        <v>2</v>
      </c>
      <c r="O27" s="81" t="n">
        <v>0</v>
      </c>
      <c r="P27" s="87" t="n">
        <v>70</v>
      </c>
      <c r="Q27" s="88" t="n">
        <v>45.9</v>
      </c>
      <c r="R27" s="87" t="n">
        <v>72</v>
      </c>
      <c r="S27" s="88" t="n">
        <v>50</v>
      </c>
      <c r="T27" s="86" t="n">
        <v>70</v>
      </c>
      <c r="U27" s="89" t="n">
        <v>45.9</v>
      </c>
      <c r="V27" s="86" t="n">
        <v>72</v>
      </c>
      <c r="W27" s="81" t="n">
        <v>50</v>
      </c>
      <c r="X27" s="86" t="n">
        <v>7.4</v>
      </c>
      <c r="Y27" s="81" t="n">
        <v>1.8</v>
      </c>
      <c r="Z27" s="86" t="n">
        <v>1839</v>
      </c>
      <c r="AA27" s="81" t="n">
        <v>1900</v>
      </c>
      <c r="AB27" s="86" t="n">
        <v>24.5</v>
      </c>
      <c r="AC27" s="85" t="n">
        <v>56</v>
      </c>
      <c r="AD27" s="85" t="n">
        <v>1372</v>
      </c>
      <c r="AE27" s="85" t="n">
        <v>39364</v>
      </c>
      <c r="AF27" s="90" t="s">
        <v>62</v>
      </c>
      <c r="AG27" s="91" t="s">
        <v>62</v>
      </c>
      <c r="AH27" s="92" t="s">
        <v>83</v>
      </c>
      <c r="AI27" s="82" t="n">
        <v>30</v>
      </c>
    </row>
    <row r="28" customFormat="false" ht="21" hidden="false" customHeight="true" outlineLevel="0" collapsed="false">
      <c r="B28" s="94"/>
      <c r="C28" s="80" t="s">
        <v>66</v>
      </c>
      <c r="D28" s="81" t="s">
        <v>60</v>
      </c>
      <c r="E28" s="82" t="s">
        <v>86</v>
      </c>
      <c r="F28" s="82"/>
      <c r="G28" s="83" t="n">
        <v>2.7</v>
      </c>
      <c r="H28" s="83" t="n">
        <v>3</v>
      </c>
      <c r="I28" s="84" t="n">
        <v>2</v>
      </c>
      <c r="J28" s="85" t="n">
        <v>8</v>
      </c>
      <c r="K28" s="85" t="n">
        <v>0</v>
      </c>
      <c r="L28" s="81" t="n">
        <v>1</v>
      </c>
      <c r="M28" s="86" t="n">
        <v>3</v>
      </c>
      <c r="N28" s="85" t="n">
        <v>2</v>
      </c>
      <c r="O28" s="81" t="n">
        <v>0</v>
      </c>
      <c r="P28" s="87" t="n">
        <v>70</v>
      </c>
      <c r="Q28" s="88" t="n">
        <v>48.6</v>
      </c>
      <c r="R28" s="87" t="n">
        <v>65</v>
      </c>
      <c r="S28" s="88" t="n">
        <v>49</v>
      </c>
      <c r="T28" s="86" t="n">
        <v>70</v>
      </c>
      <c r="U28" s="89" t="n">
        <v>48.6</v>
      </c>
      <c r="V28" s="86" t="n">
        <v>65</v>
      </c>
      <c r="W28" s="81" t="n">
        <v>49</v>
      </c>
      <c r="X28" s="86" t="n">
        <v>6.6</v>
      </c>
      <c r="Y28" s="81" t="n">
        <v>4.4</v>
      </c>
      <c r="Z28" s="86" t="n">
        <v>478</v>
      </c>
      <c r="AA28" s="81" t="n">
        <v>568</v>
      </c>
      <c r="AB28" s="86" t="n">
        <v>3.45</v>
      </c>
      <c r="AC28" s="85" t="n">
        <v>3</v>
      </c>
      <c r="AD28" s="85" t="n">
        <v>72</v>
      </c>
      <c r="AE28" s="85" t="n">
        <v>2036</v>
      </c>
      <c r="AF28" s="90" t="s">
        <v>62</v>
      </c>
      <c r="AG28" s="91" t="s">
        <v>62</v>
      </c>
      <c r="AH28" s="92" t="s">
        <v>83</v>
      </c>
      <c r="AI28" s="82" t="n">
        <v>30</v>
      </c>
    </row>
    <row r="29" customFormat="false" ht="21" hidden="false" customHeight="true" outlineLevel="0" collapsed="false">
      <c r="B29" s="94"/>
      <c r="C29" s="80" t="s">
        <v>64</v>
      </c>
      <c r="D29" s="81" t="s">
        <v>60</v>
      </c>
      <c r="E29" s="82" t="s">
        <v>87</v>
      </c>
      <c r="F29" s="82"/>
      <c r="G29" s="83" t="n">
        <v>2.6</v>
      </c>
      <c r="H29" s="83" t="n">
        <v>4</v>
      </c>
      <c r="I29" s="84" t="n">
        <v>1</v>
      </c>
      <c r="J29" s="85" t="n">
        <v>2</v>
      </c>
      <c r="K29" s="85" t="n">
        <v>1</v>
      </c>
      <c r="L29" s="81" t="n">
        <v>2</v>
      </c>
      <c r="M29" s="86" t="n">
        <v>1</v>
      </c>
      <c r="N29" s="85" t="n">
        <v>2</v>
      </c>
      <c r="O29" s="81" t="n">
        <v>1</v>
      </c>
      <c r="P29" s="87" t="n">
        <v>64.9</v>
      </c>
      <c r="Q29" s="88" t="n">
        <v>42.6</v>
      </c>
      <c r="R29" s="87" t="n">
        <v>68</v>
      </c>
      <c r="S29" s="88" t="n">
        <v>44</v>
      </c>
      <c r="T29" s="86" t="n">
        <v>64.9</v>
      </c>
      <c r="U29" s="89" t="n">
        <v>42.6</v>
      </c>
      <c r="V29" s="86" t="n">
        <v>67</v>
      </c>
      <c r="W29" s="81" t="n">
        <v>44</v>
      </c>
      <c r="X29" s="86" t="n">
        <v>6</v>
      </c>
      <c r="Y29" s="81" t="n">
        <v>3.4</v>
      </c>
      <c r="Z29" s="86" t="n">
        <v>168</v>
      </c>
      <c r="AA29" s="81" t="n">
        <v>167</v>
      </c>
      <c r="AB29" s="86" t="n">
        <v>2</v>
      </c>
      <c r="AC29" s="90" t="s">
        <v>62</v>
      </c>
      <c r="AD29" s="90" t="s">
        <v>62</v>
      </c>
      <c r="AE29" s="90" t="s">
        <v>62</v>
      </c>
      <c r="AF29" s="90" t="s">
        <v>62</v>
      </c>
      <c r="AG29" s="91" t="s">
        <v>62</v>
      </c>
      <c r="AH29" s="83" t="n">
        <v>80</v>
      </c>
      <c r="AI29" s="82" t="n">
        <v>40</v>
      </c>
    </row>
    <row r="30" customFormat="false" ht="21" hidden="false" customHeight="true" outlineLevel="0" collapsed="false">
      <c r="B30" s="94"/>
      <c r="C30" s="80" t="s">
        <v>66</v>
      </c>
      <c r="D30" s="81" t="s">
        <v>60</v>
      </c>
      <c r="E30" s="82" t="s">
        <v>88</v>
      </c>
      <c r="F30" s="82"/>
      <c r="G30" s="83" t="n">
        <v>2.5</v>
      </c>
      <c r="H30" s="83" t="n">
        <v>4</v>
      </c>
      <c r="I30" s="84" t="n">
        <v>2</v>
      </c>
      <c r="J30" s="85" t="n">
        <v>3</v>
      </c>
      <c r="K30" s="85" t="n">
        <v>1</v>
      </c>
      <c r="L30" s="81" t="n">
        <v>1</v>
      </c>
      <c r="M30" s="86" t="n">
        <v>1</v>
      </c>
      <c r="N30" s="85" t="n">
        <v>1</v>
      </c>
      <c r="O30" s="81" t="n">
        <v>1</v>
      </c>
      <c r="P30" s="87" t="n">
        <v>70</v>
      </c>
      <c r="Q30" s="88" t="n">
        <v>48.6</v>
      </c>
      <c r="R30" s="87" t="n">
        <v>65</v>
      </c>
      <c r="S30" s="88" t="n">
        <v>48</v>
      </c>
      <c r="T30" s="86" t="n">
        <v>70</v>
      </c>
      <c r="U30" s="89" t="n">
        <v>48.6</v>
      </c>
      <c r="V30" s="86" t="n">
        <v>65</v>
      </c>
      <c r="W30" s="81" t="n">
        <v>48</v>
      </c>
      <c r="X30" s="86" t="n">
        <v>6.6</v>
      </c>
      <c r="Y30" s="81" t="n">
        <v>3.5</v>
      </c>
      <c r="Z30" s="86" t="n">
        <v>649</v>
      </c>
      <c r="AA30" s="91" t="s">
        <v>62</v>
      </c>
      <c r="AB30" s="86" t="n">
        <v>5.97</v>
      </c>
      <c r="AC30" s="85" t="n">
        <v>6.5</v>
      </c>
      <c r="AD30" s="85" t="n">
        <v>180</v>
      </c>
      <c r="AE30" s="85" t="n">
        <v>5944</v>
      </c>
      <c r="AF30" s="90" t="s">
        <v>62</v>
      </c>
      <c r="AG30" s="91" t="s">
        <v>62</v>
      </c>
      <c r="AH30" s="83" t="n">
        <v>100</v>
      </c>
      <c r="AI30" s="82" t="n">
        <v>40</v>
      </c>
    </row>
    <row r="31" customFormat="false" ht="21" hidden="false" customHeight="true" outlineLevel="0" collapsed="false">
      <c r="B31" s="94"/>
      <c r="C31" s="80" t="s">
        <v>66</v>
      </c>
      <c r="D31" s="81" t="s">
        <v>60</v>
      </c>
      <c r="E31" s="82" t="s">
        <v>89</v>
      </c>
      <c r="F31" s="82"/>
      <c r="G31" s="92" t="s">
        <v>62</v>
      </c>
      <c r="H31" s="83" t="n">
        <v>5</v>
      </c>
      <c r="I31" s="84" t="n">
        <v>1</v>
      </c>
      <c r="J31" s="85" t="n">
        <v>4</v>
      </c>
      <c r="K31" s="90" t="s">
        <v>62</v>
      </c>
      <c r="L31" s="91" t="s">
        <v>62</v>
      </c>
      <c r="M31" s="96" t="s">
        <v>62</v>
      </c>
      <c r="N31" s="90" t="s">
        <v>62</v>
      </c>
      <c r="O31" s="91" t="s">
        <v>62</v>
      </c>
      <c r="P31" s="87" t="n">
        <v>70</v>
      </c>
      <c r="Q31" s="88" t="n">
        <v>48.6</v>
      </c>
      <c r="R31" s="87" t="n">
        <v>69</v>
      </c>
      <c r="S31" s="88" t="n">
        <v>54</v>
      </c>
      <c r="T31" s="86" t="n">
        <v>70</v>
      </c>
      <c r="U31" s="89" t="n">
        <v>48.6</v>
      </c>
      <c r="V31" s="86" t="n">
        <v>70</v>
      </c>
      <c r="W31" s="81" t="n">
        <v>55</v>
      </c>
      <c r="X31" s="86" t="n">
        <v>7.3</v>
      </c>
      <c r="Y31" s="81" t="n">
        <v>3.4</v>
      </c>
      <c r="Z31" s="86" t="n">
        <v>894</v>
      </c>
      <c r="AA31" s="91" t="s">
        <v>62</v>
      </c>
      <c r="AB31" s="86" t="n">
        <v>25</v>
      </c>
      <c r="AC31" s="85" t="n">
        <v>12</v>
      </c>
      <c r="AD31" s="85" t="n">
        <v>295</v>
      </c>
      <c r="AE31" s="90" t="s">
        <v>62</v>
      </c>
      <c r="AF31" s="90" t="s">
        <v>62</v>
      </c>
      <c r="AG31" s="91" t="s">
        <v>62</v>
      </c>
      <c r="AH31" s="92" t="s">
        <v>62</v>
      </c>
      <c r="AI31" s="93" t="s">
        <v>62</v>
      </c>
    </row>
    <row r="32" customFormat="false" ht="21" hidden="false" customHeight="true" outlineLevel="0" collapsed="false">
      <c r="B32" s="94"/>
      <c r="C32" s="80" t="s">
        <v>64</v>
      </c>
      <c r="D32" s="81" t="s">
        <v>60</v>
      </c>
      <c r="E32" s="82" t="s">
        <v>90</v>
      </c>
      <c r="F32" s="82"/>
      <c r="G32" s="83" t="n">
        <v>2.6</v>
      </c>
      <c r="H32" s="83" t="n">
        <v>3</v>
      </c>
      <c r="I32" s="95" t="s">
        <v>62</v>
      </c>
      <c r="J32" s="90" t="s">
        <v>62</v>
      </c>
      <c r="K32" s="90" t="s">
        <v>62</v>
      </c>
      <c r="L32" s="91" t="s">
        <v>62</v>
      </c>
      <c r="M32" s="96" t="s">
        <v>62</v>
      </c>
      <c r="N32" s="90" t="s">
        <v>62</v>
      </c>
      <c r="O32" s="91" t="s">
        <v>62</v>
      </c>
      <c r="P32" s="87" t="n">
        <v>70</v>
      </c>
      <c r="Q32" s="88" t="n">
        <v>45.9</v>
      </c>
      <c r="R32" s="87" t="n">
        <v>73.9</v>
      </c>
      <c r="S32" s="88" t="n">
        <v>50.5</v>
      </c>
      <c r="T32" s="86" t="n">
        <v>70</v>
      </c>
      <c r="U32" s="89" t="n">
        <v>45.9</v>
      </c>
      <c r="V32" s="86" t="n">
        <v>75</v>
      </c>
      <c r="W32" s="81" t="n">
        <v>52</v>
      </c>
      <c r="X32" s="86" t="n">
        <v>7.2</v>
      </c>
      <c r="Y32" s="81" t="n">
        <v>2.5</v>
      </c>
      <c r="Z32" s="86" t="n">
        <v>2798</v>
      </c>
      <c r="AA32" s="81" t="n">
        <v>3000</v>
      </c>
      <c r="AB32" s="86" t="n">
        <v>32.24</v>
      </c>
      <c r="AC32" s="85" t="n">
        <v>35</v>
      </c>
      <c r="AD32" s="85" t="n">
        <v>941</v>
      </c>
      <c r="AE32" s="85" t="n">
        <v>29295</v>
      </c>
      <c r="AF32" s="90" t="s">
        <v>62</v>
      </c>
      <c r="AG32" s="91" t="s">
        <v>62</v>
      </c>
      <c r="AH32" s="83" t="n">
        <v>550</v>
      </c>
      <c r="AI32" s="82" t="n">
        <v>27</v>
      </c>
    </row>
    <row r="33" customFormat="false" ht="21" hidden="false" customHeight="true" outlineLevel="0" collapsed="false">
      <c r="B33" s="94"/>
      <c r="C33" s="80" t="s">
        <v>76</v>
      </c>
      <c r="D33" s="81" t="s">
        <v>60</v>
      </c>
      <c r="E33" s="82" t="s">
        <v>91</v>
      </c>
      <c r="F33" s="82"/>
      <c r="G33" s="83" t="n">
        <v>2.6</v>
      </c>
      <c r="H33" s="83" t="n">
        <v>5</v>
      </c>
      <c r="I33" s="84" t="n">
        <v>3</v>
      </c>
      <c r="J33" s="85" t="n">
        <v>3</v>
      </c>
      <c r="K33" s="85" t="n">
        <v>2</v>
      </c>
      <c r="L33" s="81" t="n">
        <v>0</v>
      </c>
      <c r="M33" s="86" t="n">
        <v>1</v>
      </c>
      <c r="N33" s="85" t="n">
        <v>1</v>
      </c>
      <c r="O33" s="81" t="n">
        <v>0</v>
      </c>
      <c r="P33" s="87" t="n">
        <v>51.9</v>
      </c>
      <c r="Q33" s="88" t="n">
        <v>42.6</v>
      </c>
      <c r="R33" s="87" t="n">
        <v>54.6</v>
      </c>
      <c r="S33" s="88" t="n">
        <v>44.5</v>
      </c>
      <c r="T33" s="86" t="n">
        <v>51.9</v>
      </c>
      <c r="U33" s="89" t="n">
        <v>42.6</v>
      </c>
      <c r="V33" s="86" t="n">
        <v>54</v>
      </c>
      <c r="W33" s="81" t="n">
        <v>44</v>
      </c>
      <c r="X33" s="86" t="n">
        <v>5</v>
      </c>
      <c r="Y33" s="81" t="n">
        <v>2</v>
      </c>
      <c r="Z33" s="86" t="n">
        <v>480</v>
      </c>
      <c r="AA33" s="81" t="n">
        <v>460</v>
      </c>
      <c r="AB33" s="86" t="n">
        <v>1.82</v>
      </c>
      <c r="AC33" s="85" t="n">
        <v>0.5</v>
      </c>
      <c r="AD33" s="85" t="n">
        <v>14</v>
      </c>
      <c r="AE33" s="85" t="n">
        <v>362</v>
      </c>
      <c r="AF33" s="90" t="s">
        <v>62</v>
      </c>
      <c r="AG33" s="91" t="s">
        <v>62</v>
      </c>
      <c r="AH33" s="92" t="s">
        <v>62</v>
      </c>
      <c r="AI33" s="93" t="s">
        <v>62</v>
      </c>
    </row>
    <row r="34" customFormat="false" ht="21" hidden="false" customHeight="true" outlineLevel="0" collapsed="false">
      <c r="B34" s="94"/>
      <c r="C34" s="80" t="s">
        <v>64</v>
      </c>
      <c r="D34" s="81" t="s">
        <v>60</v>
      </c>
      <c r="E34" s="82" t="s">
        <v>92</v>
      </c>
      <c r="F34" s="82"/>
      <c r="G34" s="83" t="n">
        <v>2.6</v>
      </c>
      <c r="H34" s="83" t="n">
        <v>4</v>
      </c>
      <c r="I34" s="84" t="n">
        <v>1</v>
      </c>
      <c r="J34" s="85" t="n">
        <v>1</v>
      </c>
      <c r="K34" s="85" t="n">
        <v>3</v>
      </c>
      <c r="L34" s="81" t="n">
        <v>0</v>
      </c>
      <c r="M34" s="86" t="n">
        <v>3</v>
      </c>
      <c r="N34" s="85" t="n">
        <v>2</v>
      </c>
      <c r="O34" s="81" t="n">
        <v>1</v>
      </c>
      <c r="P34" s="87" t="n">
        <v>70</v>
      </c>
      <c r="Q34" s="88" t="n">
        <v>45.9</v>
      </c>
      <c r="R34" s="87" t="n">
        <v>70</v>
      </c>
      <c r="S34" s="88" t="n">
        <v>47</v>
      </c>
      <c r="T34" s="86" t="n">
        <v>70</v>
      </c>
      <c r="U34" s="89" t="n">
        <v>45.9</v>
      </c>
      <c r="V34" s="86" t="n">
        <v>70</v>
      </c>
      <c r="W34" s="81" t="n">
        <v>47</v>
      </c>
      <c r="X34" s="86" t="n">
        <v>5.4</v>
      </c>
      <c r="Y34" s="81" t="n">
        <v>3.3</v>
      </c>
      <c r="Z34" s="86" t="n">
        <v>255</v>
      </c>
      <c r="AA34" s="81" t="n">
        <v>285</v>
      </c>
      <c r="AB34" s="86" t="n">
        <v>1.8</v>
      </c>
      <c r="AC34" s="85" t="n">
        <v>2.5</v>
      </c>
      <c r="AD34" s="85" t="n">
        <v>70</v>
      </c>
      <c r="AE34" s="85" t="n">
        <v>1723</v>
      </c>
      <c r="AF34" s="90" t="s">
        <v>62</v>
      </c>
      <c r="AG34" s="91" t="s">
        <v>62</v>
      </c>
      <c r="AH34" s="83" t="n">
        <v>90</v>
      </c>
      <c r="AI34" s="82" t="n">
        <v>30</v>
      </c>
    </row>
    <row r="35" customFormat="false" ht="21" hidden="false" customHeight="true" outlineLevel="0" collapsed="false">
      <c r="B35" s="94" t="s">
        <v>93</v>
      </c>
      <c r="C35" s="80" t="s">
        <v>59</v>
      </c>
      <c r="D35" s="81" t="s">
        <v>60</v>
      </c>
      <c r="E35" s="82" t="s">
        <v>94</v>
      </c>
      <c r="F35" s="82"/>
      <c r="G35" s="83" t="n">
        <v>2.8</v>
      </c>
      <c r="H35" s="83" t="n">
        <v>3</v>
      </c>
      <c r="I35" s="84" t="n">
        <v>2</v>
      </c>
      <c r="J35" s="85" t="n">
        <v>8</v>
      </c>
      <c r="K35" s="85" t="n">
        <v>0</v>
      </c>
      <c r="L35" s="81" t="n">
        <v>1</v>
      </c>
      <c r="M35" s="86" t="n">
        <v>2</v>
      </c>
      <c r="N35" s="85" t="n">
        <v>2</v>
      </c>
      <c r="O35" s="81" t="n">
        <v>0</v>
      </c>
      <c r="P35" s="87" t="n">
        <v>72.4</v>
      </c>
      <c r="Q35" s="88" t="n">
        <v>42.6</v>
      </c>
      <c r="R35" s="87" t="n">
        <v>72</v>
      </c>
      <c r="S35" s="88" t="n">
        <v>50</v>
      </c>
      <c r="T35" s="86" t="n">
        <v>72.4</v>
      </c>
      <c r="U35" s="89" t="n">
        <v>42.6</v>
      </c>
      <c r="V35" s="86" t="n">
        <v>72</v>
      </c>
      <c r="W35" s="81" t="n">
        <v>50</v>
      </c>
      <c r="X35" s="86" t="n">
        <v>8</v>
      </c>
      <c r="Y35" s="81" t="n">
        <v>3</v>
      </c>
      <c r="Z35" s="86" t="n">
        <v>1878</v>
      </c>
      <c r="AA35" s="91" t="s">
        <v>62</v>
      </c>
      <c r="AB35" s="86" t="n">
        <v>16</v>
      </c>
      <c r="AC35" s="85" t="n">
        <v>13</v>
      </c>
      <c r="AD35" s="85" t="n">
        <v>352</v>
      </c>
      <c r="AE35" s="90" t="s">
        <v>62</v>
      </c>
      <c r="AF35" s="90" t="s">
        <v>62</v>
      </c>
      <c r="AG35" s="91" t="s">
        <v>62</v>
      </c>
      <c r="AH35" s="83" t="n">
        <v>330</v>
      </c>
      <c r="AI35" s="82" t="n">
        <v>40</v>
      </c>
    </row>
    <row r="36" customFormat="false" ht="21" hidden="false" customHeight="true" outlineLevel="0" collapsed="false">
      <c r="B36" s="94"/>
      <c r="C36" s="80" t="s">
        <v>59</v>
      </c>
      <c r="D36" s="81" t="s">
        <v>60</v>
      </c>
      <c r="E36" s="82" t="s">
        <v>95</v>
      </c>
      <c r="F36" s="82"/>
      <c r="G36" s="83" t="n">
        <v>2.8</v>
      </c>
      <c r="H36" s="83" t="n">
        <v>3</v>
      </c>
      <c r="I36" s="84" t="n">
        <v>2</v>
      </c>
      <c r="J36" s="85" t="n">
        <v>6</v>
      </c>
      <c r="K36" s="85" t="n">
        <v>1</v>
      </c>
      <c r="L36" s="81" t="n">
        <v>0</v>
      </c>
      <c r="M36" s="86" t="n">
        <v>2</v>
      </c>
      <c r="N36" s="85" t="n">
        <v>1</v>
      </c>
      <c r="O36" s="81" t="n">
        <v>0</v>
      </c>
      <c r="P36" s="87" t="n">
        <v>72.4</v>
      </c>
      <c r="Q36" s="88" t="n">
        <v>42.6</v>
      </c>
      <c r="R36" s="87" t="n">
        <v>74</v>
      </c>
      <c r="S36" s="88" t="n">
        <v>46</v>
      </c>
      <c r="T36" s="86" t="n">
        <v>72.4</v>
      </c>
      <c r="U36" s="89" t="n">
        <v>42.6</v>
      </c>
      <c r="V36" s="86" t="n">
        <v>74</v>
      </c>
      <c r="W36" s="81" t="n">
        <v>46</v>
      </c>
      <c r="X36" s="86" t="n">
        <v>7.8</v>
      </c>
      <c r="Y36" s="81" t="n">
        <v>74</v>
      </c>
      <c r="Z36" s="86" t="n">
        <v>247</v>
      </c>
      <c r="AA36" s="81" t="n">
        <v>240</v>
      </c>
      <c r="AB36" s="86" t="n">
        <v>1.6</v>
      </c>
      <c r="AC36" s="85" t="n">
        <v>2.6</v>
      </c>
      <c r="AD36" s="85" t="n">
        <v>60</v>
      </c>
      <c r="AE36" s="90" t="s">
        <v>62</v>
      </c>
      <c r="AF36" s="90" t="s">
        <v>62</v>
      </c>
      <c r="AG36" s="91" t="s">
        <v>62</v>
      </c>
      <c r="AH36" s="83" t="n">
        <v>110</v>
      </c>
      <c r="AI36" s="82" t="n">
        <v>40</v>
      </c>
    </row>
    <row r="37" customFormat="false" ht="21" hidden="false" customHeight="true" outlineLevel="0" collapsed="false">
      <c r="B37" s="94"/>
      <c r="C37" s="80" t="s">
        <v>74</v>
      </c>
      <c r="D37" s="81" t="s">
        <v>60</v>
      </c>
      <c r="E37" s="82" t="s">
        <v>96</v>
      </c>
      <c r="F37" s="82"/>
      <c r="G37" s="83" t="n">
        <v>2.9</v>
      </c>
      <c r="H37" s="83" t="n">
        <v>4</v>
      </c>
      <c r="I37" s="84" t="n">
        <v>2</v>
      </c>
      <c r="J37" s="85" t="n">
        <v>4</v>
      </c>
      <c r="K37" s="85" t="n">
        <v>2</v>
      </c>
      <c r="L37" s="81" t="n">
        <v>0</v>
      </c>
      <c r="M37" s="86" t="n">
        <v>2</v>
      </c>
      <c r="N37" s="85" t="n">
        <v>1</v>
      </c>
      <c r="O37" s="81" t="n">
        <v>0</v>
      </c>
      <c r="P37" s="87" t="n">
        <v>70</v>
      </c>
      <c r="Q37" s="88" t="n">
        <v>50.1</v>
      </c>
      <c r="R37" s="87" t="n">
        <v>72</v>
      </c>
      <c r="S37" s="88" t="n">
        <v>52</v>
      </c>
      <c r="T37" s="86" t="n">
        <v>70</v>
      </c>
      <c r="U37" s="89" t="n">
        <v>50.1</v>
      </c>
      <c r="V37" s="86" t="n">
        <v>72</v>
      </c>
      <c r="W37" s="81" t="n">
        <v>52</v>
      </c>
      <c r="X37" s="86" t="n">
        <v>7.4</v>
      </c>
      <c r="Y37" s="81" t="n">
        <v>5.2</v>
      </c>
      <c r="Z37" s="86" t="n">
        <v>379</v>
      </c>
      <c r="AA37" s="91" t="s">
        <v>62</v>
      </c>
      <c r="AB37" s="96" t="s">
        <v>62</v>
      </c>
      <c r="AC37" s="85" t="n">
        <v>8</v>
      </c>
      <c r="AD37" s="90" t="s">
        <v>62</v>
      </c>
      <c r="AE37" s="90" t="s">
        <v>62</v>
      </c>
      <c r="AF37" s="90" t="s">
        <v>62</v>
      </c>
      <c r="AG37" s="91" t="s">
        <v>62</v>
      </c>
      <c r="AH37" s="92" t="s">
        <v>62</v>
      </c>
      <c r="AI37" s="93" t="s">
        <v>62</v>
      </c>
    </row>
    <row r="38" customFormat="false" ht="21" hidden="false" customHeight="true" outlineLevel="0" collapsed="false">
      <c r="B38" s="94" t="s">
        <v>97</v>
      </c>
      <c r="C38" s="80" t="s">
        <v>59</v>
      </c>
      <c r="D38" s="81" t="s">
        <v>60</v>
      </c>
      <c r="E38" s="82" t="s">
        <v>98</v>
      </c>
      <c r="F38" s="82"/>
      <c r="G38" s="83" t="n">
        <v>2.9</v>
      </c>
      <c r="H38" s="83" t="n">
        <v>4</v>
      </c>
      <c r="I38" s="84" t="n">
        <v>2</v>
      </c>
      <c r="J38" s="85" t="n">
        <v>3</v>
      </c>
      <c r="K38" s="85" t="n">
        <v>2</v>
      </c>
      <c r="L38" s="81" t="n">
        <v>0</v>
      </c>
      <c r="M38" s="86" t="n">
        <v>1</v>
      </c>
      <c r="N38" s="85" t="n">
        <v>1</v>
      </c>
      <c r="O38" s="81" t="n">
        <v>0</v>
      </c>
      <c r="P38" s="87" t="n">
        <v>72.4</v>
      </c>
      <c r="Q38" s="88" t="n">
        <v>42.6</v>
      </c>
      <c r="R38" s="87" t="n">
        <v>74</v>
      </c>
      <c r="S38" s="88" t="n">
        <v>52</v>
      </c>
      <c r="T38" s="86" t="n">
        <v>72.4</v>
      </c>
      <c r="U38" s="89" t="n">
        <v>42.6</v>
      </c>
      <c r="V38" s="86" t="n">
        <v>74</v>
      </c>
      <c r="W38" s="81" t="n">
        <v>52</v>
      </c>
      <c r="X38" s="86" t="n">
        <v>7.6</v>
      </c>
      <c r="Y38" s="81" t="n">
        <v>4.4</v>
      </c>
      <c r="Z38" s="86" t="n">
        <v>837</v>
      </c>
      <c r="AA38" s="81" t="n">
        <v>1330</v>
      </c>
      <c r="AB38" s="86" t="n">
        <v>4.4</v>
      </c>
      <c r="AC38" s="85" t="n">
        <v>7</v>
      </c>
      <c r="AD38" s="85" t="n">
        <v>161</v>
      </c>
      <c r="AE38" s="85" t="n">
        <v>4389</v>
      </c>
      <c r="AF38" s="90" t="s">
        <v>62</v>
      </c>
      <c r="AG38" s="91" t="s">
        <v>62</v>
      </c>
      <c r="AH38" s="83" t="n">
        <v>70</v>
      </c>
      <c r="AI38" s="82" t="n">
        <v>35</v>
      </c>
    </row>
    <row r="39" customFormat="false" ht="21" hidden="false" customHeight="true" outlineLevel="0" collapsed="false">
      <c r="B39" s="94"/>
      <c r="C39" s="80" t="s">
        <v>59</v>
      </c>
      <c r="D39" s="81" t="s">
        <v>60</v>
      </c>
      <c r="E39" s="82" t="s">
        <v>99</v>
      </c>
      <c r="F39" s="82"/>
      <c r="G39" s="83" t="n">
        <v>2.9</v>
      </c>
      <c r="H39" s="83" t="n">
        <v>4</v>
      </c>
      <c r="I39" s="84" t="n">
        <v>3</v>
      </c>
      <c r="J39" s="85" t="n">
        <v>3</v>
      </c>
      <c r="K39" s="85" t="n">
        <v>1</v>
      </c>
      <c r="L39" s="81" t="n">
        <v>0</v>
      </c>
      <c r="M39" s="86" t="n">
        <v>5</v>
      </c>
      <c r="N39" s="85" t="n">
        <v>0</v>
      </c>
      <c r="O39" s="81" t="n">
        <v>0</v>
      </c>
      <c r="P39" s="87" t="n">
        <v>72.4</v>
      </c>
      <c r="Q39" s="88" t="n">
        <v>42.6</v>
      </c>
      <c r="R39" s="87" t="n">
        <v>72</v>
      </c>
      <c r="S39" s="88" t="n">
        <v>51</v>
      </c>
      <c r="T39" s="86" t="n">
        <v>72.4</v>
      </c>
      <c r="U39" s="89" t="n">
        <v>42.6</v>
      </c>
      <c r="V39" s="86" t="n">
        <v>72</v>
      </c>
      <c r="W39" s="81" t="n">
        <v>51</v>
      </c>
      <c r="X39" s="86" t="n">
        <v>7.6</v>
      </c>
      <c r="Y39" s="81" t="n">
        <v>3.9</v>
      </c>
      <c r="Z39" s="86" t="n">
        <v>1024</v>
      </c>
      <c r="AA39" s="81" t="n">
        <v>992</v>
      </c>
      <c r="AB39" s="86" t="n">
        <v>14</v>
      </c>
      <c r="AC39" s="85" t="n">
        <v>20</v>
      </c>
      <c r="AD39" s="85" t="n">
        <v>482</v>
      </c>
      <c r="AE39" s="85" t="n">
        <v>10492</v>
      </c>
      <c r="AF39" s="90" t="s">
        <v>62</v>
      </c>
      <c r="AG39" s="91" t="s">
        <v>62</v>
      </c>
      <c r="AH39" s="83" t="n">
        <v>430</v>
      </c>
      <c r="AI39" s="82" t="n">
        <v>40</v>
      </c>
    </row>
    <row r="40" customFormat="false" ht="21" hidden="false" customHeight="true" outlineLevel="0" collapsed="false">
      <c r="B40" s="94"/>
      <c r="C40" s="80" t="s">
        <v>64</v>
      </c>
      <c r="D40" s="81" t="s">
        <v>60</v>
      </c>
      <c r="E40" s="82" t="s">
        <v>100</v>
      </c>
      <c r="F40" s="82"/>
      <c r="G40" s="83" t="n">
        <v>2.6</v>
      </c>
      <c r="H40" s="83" t="n">
        <v>6</v>
      </c>
      <c r="I40" s="84" t="n">
        <v>3</v>
      </c>
      <c r="J40" s="85" t="n">
        <v>4</v>
      </c>
      <c r="K40" s="85" t="n">
        <v>3</v>
      </c>
      <c r="L40" s="81" t="n">
        <v>0</v>
      </c>
      <c r="M40" s="86" t="n">
        <v>2</v>
      </c>
      <c r="N40" s="85" t="n">
        <v>2</v>
      </c>
      <c r="O40" s="81" t="n">
        <v>0</v>
      </c>
      <c r="P40" s="87" t="n">
        <v>70</v>
      </c>
      <c r="Q40" s="88" t="n">
        <v>45.9</v>
      </c>
      <c r="R40" s="87" t="n">
        <v>72</v>
      </c>
      <c r="S40" s="88" t="n">
        <v>48</v>
      </c>
      <c r="T40" s="86" t="n">
        <v>70</v>
      </c>
      <c r="U40" s="89" t="n">
        <v>45.9</v>
      </c>
      <c r="V40" s="86" t="n">
        <v>72</v>
      </c>
      <c r="W40" s="81" t="n">
        <v>48</v>
      </c>
      <c r="X40" s="86" t="n">
        <v>7.8</v>
      </c>
      <c r="Y40" s="81" t="n">
        <v>3.8</v>
      </c>
      <c r="Z40" s="86" t="n">
        <v>852</v>
      </c>
      <c r="AA40" s="81" t="n">
        <v>690</v>
      </c>
      <c r="AB40" s="86" t="n">
        <v>3.1</v>
      </c>
      <c r="AC40" s="85" t="n">
        <v>6</v>
      </c>
      <c r="AD40" s="85" t="n">
        <v>114</v>
      </c>
      <c r="AE40" s="85" t="n">
        <v>3079</v>
      </c>
      <c r="AF40" s="90" t="s">
        <v>62</v>
      </c>
      <c r="AG40" s="91" t="s">
        <v>62</v>
      </c>
      <c r="AH40" s="83" t="n">
        <v>25</v>
      </c>
      <c r="AI40" s="82" t="n">
        <v>40</v>
      </c>
    </row>
    <row r="41" customFormat="false" ht="21" hidden="false" customHeight="true" outlineLevel="0" collapsed="false">
      <c r="B41" s="94"/>
      <c r="C41" s="80" t="s">
        <v>76</v>
      </c>
      <c r="D41" s="81" t="s">
        <v>60</v>
      </c>
      <c r="E41" s="82" t="s">
        <v>101</v>
      </c>
      <c r="F41" s="82"/>
      <c r="G41" s="83" t="n">
        <v>2.8</v>
      </c>
      <c r="H41" s="83" t="n">
        <v>5</v>
      </c>
      <c r="I41" s="84" t="n">
        <v>3</v>
      </c>
      <c r="J41" s="85" t="n">
        <v>3</v>
      </c>
      <c r="K41" s="85" t="n">
        <v>2</v>
      </c>
      <c r="L41" s="81" t="n">
        <v>0</v>
      </c>
      <c r="M41" s="86" t="n">
        <v>1</v>
      </c>
      <c r="N41" s="85" t="n">
        <v>3</v>
      </c>
      <c r="O41" s="81" t="n">
        <v>0</v>
      </c>
      <c r="P41" s="87" t="n">
        <v>51.9</v>
      </c>
      <c r="Q41" s="88" t="n">
        <v>42.6</v>
      </c>
      <c r="R41" s="87" t="n">
        <v>54</v>
      </c>
      <c r="S41" s="88" t="n">
        <v>43</v>
      </c>
      <c r="T41" s="86" t="n">
        <v>51.9</v>
      </c>
      <c r="U41" s="89" t="n">
        <v>42.6</v>
      </c>
      <c r="V41" s="86" t="n">
        <v>54</v>
      </c>
      <c r="W41" s="81" t="n">
        <v>43</v>
      </c>
      <c r="X41" s="86" t="n">
        <v>5.8</v>
      </c>
      <c r="Y41" s="81" t="n">
        <v>3.6</v>
      </c>
      <c r="Z41" s="86" t="n">
        <v>456</v>
      </c>
      <c r="AA41" s="91" t="s">
        <v>62</v>
      </c>
      <c r="AB41" s="86" t="n">
        <v>1</v>
      </c>
      <c r="AC41" s="90" t="s">
        <v>62</v>
      </c>
      <c r="AD41" s="90" t="s">
        <v>62</v>
      </c>
      <c r="AE41" s="90" t="s">
        <v>62</v>
      </c>
      <c r="AF41" s="90" t="s">
        <v>62</v>
      </c>
      <c r="AG41" s="91" t="s">
        <v>62</v>
      </c>
      <c r="AH41" s="92" t="s">
        <v>62</v>
      </c>
      <c r="AI41" s="93" t="s">
        <v>62</v>
      </c>
    </row>
    <row r="42" customFormat="false" ht="21" hidden="false" customHeight="true" outlineLevel="0" collapsed="false">
      <c r="B42" s="94" t="s">
        <v>102</v>
      </c>
      <c r="C42" s="80" t="s">
        <v>59</v>
      </c>
      <c r="D42" s="81" t="s">
        <v>60</v>
      </c>
      <c r="E42" s="82" t="s">
        <v>103</v>
      </c>
      <c r="F42" s="82"/>
      <c r="G42" s="83" t="n">
        <v>4</v>
      </c>
      <c r="H42" s="83" t="n">
        <v>3</v>
      </c>
      <c r="I42" s="84" t="n">
        <v>3</v>
      </c>
      <c r="J42" s="85" t="n">
        <v>8</v>
      </c>
      <c r="K42" s="85" t="n">
        <v>0</v>
      </c>
      <c r="L42" s="81" t="n">
        <v>0</v>
      </c>
      <c r="M42" s="86" t="n">
        <v>2</v>
      </c>
      <c r="N42" s="85" t="n">
        <v>3</v>
      </c>
      <c r="O42" s="81" t="n">
        <v>0</v>
      </c>
      <c r="P42" s="87" t="n">
        <v>72.4</v>
      </c>
      <c r="Q42" s="88" t="n">
        <v>42.6</v>
      </c>
      <c r="R42" s="87" t="n">
        <v>71</v>
      </c>
      <c r="S42" s="88" t="n">
        <v>48</v>
      </c>
      <c r="T42" s="86" t="n">
        <v>72.4</v>
      </c>
      <c r="U42" s="89" t="n">
        <v>42.6</v>
      </c>
      <c r="V42" s="86" t="n">
        <v>71</v>
      </c>
      <c r="W42" s="81" t="n">
        <v>48</v>
      </c>
      <c r="X42" s="86" t="n">
        <v>7.9</v>
      </c>
      <c r="Y42" s="81" t="n">
        <v>2.5</v>
      </c>
      <c r="Z42" s="86" t="n">
        <v>1616</v>
      </c>
      <c r="AA42" s="81" t="n">
        <v>1830</v>
      </c>
      <c r="AB42" s="86" t="n">
        <v>18</v>
      </c>
      <c r="AC42" s="85" t="n">
        <v>36</v>
      </c>
      <c r="AD42" s="85" t="n">
        <v>860</v>
      </c>
      <c r="AE42" s="85" t="n">
        <v>18535</v>
      </c>
      <c r="AF42" s="90" t="s">
        <v>62</v>
      </c>
      <c r="AG42" s="91" t="s">
        <v>62</v>
      </c>
      <c r="AH42" s="83" t="n">
        <v>110</v>
      </c>
      <c r="AI42" s="82" t="n">
        <v>30</v>
      </c>
    </row>
    <row r="43" customFormat="false" ht="21" hidden="false" customHeight="true" outlineLevel="0" collapsed="false">
      <c r="B43" s="94"/>
      <c r="C43" s="80" t="s">
        <v>104</v>
      </c>
      <c r="D43" s="81" t="s">
        <v>60</v>
      </c>
      <c r="E43" s="82" t="s">
        <v>105</v>
      </c>
      <c r="F43" s="82"/>
      <c r="G43" s="83" t="n">
        <v>2.8</v>
      </c>
      <c r="H43" s="83" t="n">
        <v>6</v>
      </c>
      <c r="I43" s="84" t="n">
        <v>4</v>
      </c>
      <c r="J43" s="85" t="n">
        <v>4</v>
      </c>
      <c r="K43" s="85" t="n">
        <v>2</v>
      </c>
      <c r="L43" s="81" t="n">
        <v>0</v>
      </c>
      <c r="M43" s="86" t="n">
        <v>3</v>
      </c>
      <c r="N43" s="85" t="n">
        <v>2</v>
      </c>
      <c r="O43" s="81" t="n">
        <v>2</v>
      </c>
      <c r="P43" s="87" t="n">
        <v>56</v>
      </c>
      <c r="Q43" s="88" t="n">
        <v>42.6</v>
      </c>
      <c r="R43" s="87" t="n">
        <v>61</v>
      </c>
      <c r="S43" s="88" t="n">
        <v>41</v>
      </c>
      <c r="T43" s="86" t="n">
        <v>56</v>
      </c>
      <c r="U43" s="89" t="n">
        <v>42.6</v>
      </c>
      <c r="V43" s="86" t="n">
        <v>60</v>
      </c>
      <c r="W43" s="81" t="n">
        <v>40</v>
      </c>
      <c r="X43" s="86" t="n">
        <v>5.2</v>
      </c>
      <c r="Y43" s="81" t="n">
        <v>1.2</v>
      </c>
      <c r="Z43" s="86" t="s">
        <v>106</v>
      </c>
      <c r="AA43" s="81" t="n">
        <v>373</v>
      </c>
      <c r="AB43" s="86" t="n">
        <v>3</v>
      </c>
      <c r="AC43" s="85" t="n">
        <v>25</v>
      </c>
      <c r="AD43" s="85" t="n">
        <v>773</v>
      </c>
      <c r="AE43" s="85" t="n">
        <v>13608</v>
      </c>
      <c r="AF43" s="90" t="s">
        <v>62</v>
      </c>
      <c r="AG43" s="91" t="s">
        <v>62</v>
      </c>
      <c r="AH43" s="92" t="s">
        <v>62</v>
      </c>
      <c r="AI43" s="82" t="n">
        <v>30</v>
      </c>
    </row>
    <row r="44" customFormat="false" ht="21" hidden="false" customHeight="true" outlineLevel="0" collapsed="false">
      <c r="B44" s="94"/>
      <c r="C44" s="80" t="s">
        <v>104</v>
      </c>
      <c r="D44" s="81" t="s">
        <v>60</v>
      </c>
      <c r="E44" s="82" t="s">
        <v>107</v>
      </c>
      <c r="F44" s="82"/>
      <c r="G44" s="83" t="n">
        <v>2.9</v>
      </c>
      <c r="H44" s="83" t="n">
        <v>12</v>
      </c>
      <c r="I44" s="84" t="n">
        <v>10</v>
      </c>
      <c r="J44" s="85" t="n">
        <v>10</v>
      </c>
      <c r="K44" s="85" t="n">
        <v>1</v>
      </c>
      <c r="L44" s="81" t="n">
        <v>1</v>
      </c>
      <c r="M44" s="86" t="n">
        <v>3</v>
      </c>
      <c r="N44" s="85" t="n">
        <v>2</v>
      </c>
      <c r="O44" s="81" t="n">
        <v>0</v>
      </c>
      <c r="P44" s="87" t="n">
        <v>56</v>
      </c>
      <c r="Q44" s="88" t="n">
        <v>42.6</v>
      </c>
      <c r="R44" s="87" t="n">
        <v>78</v>
      </c>
      <c r="S44" s="88" t="n">
        <v>55</v>
      </c>
      <c r="T44" s="86" t="n">
        <v>56</v>
      </c>
      <c r="U44" s="89" t="n">
        <v>42.6</v>
      </c>
      <c r="V44" s="86" t="n">
        <v>78</v>
      </c>
      <c r="W44" s="81" t="n">
        <v>55</v>
      </c>
      <c r="X44" s="86" t="n">
        <v>5.7</v>
      </c>
      <c r="Y44" s="81" t="n">
        <v>2.3</v>
      </c>
      <c r="Z44" s="86" t="s">
        <v>108</v>
      </c>
      <c r="AA44" s="81" t="n">
        <v>525</v>
      </c>
      <c r="AB44" s="86" t="n">
        <v>4.5</v>
      </c>
      <c r="AC44" s="85" t="n">
        <v>13</v>
      </c>
      <c r="AD44" s="90" t="s">
        <v>62</v>
      </c>
      <c r="AE44" s="90" t="s">
        <v>62</v>
      </c>
      <c r="AF44" s="90" t="s">
        <v>62</v>
      </c>
      <c r="AG44" s="91" t="s">
        <v>62</v>
      </c>
      <c r="AH44" s="92" t="s">
        <v>62</v>
      </c>
      <c r="AI44" s="93" t="s">
        <v>62</v>
      </c>
    </row>
    <row r="45" customFormat="false" ht="21" hidden="false" customHeight="true" outlineLevel="0" collapsed="false">
      <c r="B45" s="94" t="s">
        <v>109</v>
      </c>
      <c r="C45" s="80" t="s">
        <v>59</v>
      </c>
      <c r="D45" s="81" t="s">
        <v>60</v>
      </c>
      <c r="E45" s="82" t="s">
        <v>110</v>
      </c>
      <c r="F45" s="82"/>
      <c r="G45" s="83" t="n">
        <v>2.4</v>
      </c>
      <c r="H45" s="83" t="n">
        <v>3</v>
      </c>
      <c r="I45" s="84" t="n">
        <v>2</v>
      </c>
      <c r="J45" s="85" t="n">
        <v>10</v>
      </c>
      <c r="K45" s="85" t="n">
        <v>1</v>
      </c>
      <c r="L45" s="81" t="n">
        <v>0</v>
      </c>
      <c r="M45" s="86" t="n">
        <v>3</v>
      </c>
      <c r="N45" s="85" t="n">
        <v>2</v>
      </c>
      <c r="O45" s="81" t="n">
        <v>0</v>
      </c>
      <c r="P45" s="87" t="n">
        <v>72.4</v>
      </c>
      <c r="Q45" s="88" t="n">
        <v>42.6</v>
      </c>
      <c r="R45" s="87" t="n">
        <v>72.3</v>
      </c>
      <c r="S45" s="88" t="n">
        <v>46.3</v>
      </c>
      <c r="T45" s="86" t="n">
        <v>72.4</v>
      </c>
      <c r="U45" s="89" t="n">
        <v>42.6</v>
      </c>
      <c r="V45" s="86" t="n">
        <v>72</v>
      </c>
      <c r="W45" s="81" t="n">
        <v>47</v>
      </c>
      <c r="X45" s="86" t="n">
        <v>7.4</v>
      </c>
      <c r="Y45" s="81" t="n">
        <v>3.2</v>
      </c>
      <c r="Z45" s="86" t="s">
        <v>111</v>
      </c>
      <c r="AA45" s="81" t="n">
        <v>1991</v>
      </c>
      <c r="AB45" s="86" t="n">
        <v>15</v>
      </c>
      <c r="AC45" s="85" t="n">
        <v>1</v>
      </c>
      <c r="AD45" s="85" t="n">
        <v>54</v>
      </c>
      <c r="AE45" s="85" t="n">
        <v>2040</v>
      </c>
      <c r="AF45" s="90" t="s">
        <v>62</v>
      </c>
      <c r="AG45" s="91" t="s">
        <v>62</v>
      </c>
      <c r="AH45" s="83" t="n">
        <v>210</v>
      </c>
      <c r="AI45" s="82" t="n">
        <v>30</v>
      </c>
    </row>
    <row r="46" customFormat="false" ht="21" hidden="false" customHeight="true" outlineLevel="0" collapsed="false">
      <c r="B46" s="94"/>
      <c r="C46" s="80" t="s">
        <v>59</v>
      </c>
      <c r="D46" s="81" t="s">
        <v>60</v>
      </c>
      <c r="E46" s="82" t="s">
        <v>112</v>
      </c>
      <c r="F46" s="82"/>
      <c r="G46" s="92" t="s">
        <v>62</v>
      </c>
      <c r="H46" s="92" t="s">
        <v>62</v>
      </c>
      <c r="I46" s="95" t="s">
        <v>62</v>
      </c>
      <c r="J46" s="90" t="s">
        <v>62</v>
      </c>
      <c r="K46" s="90" t="s">
        <v>62</v>
      </c>
      <c r="L46" s="91" t="s">
        <v>62</v>
      </c>
      <c r="M46" s="96" t="s">
        <v>62</v>
      </c>
      <c r="N46" s="90" t="s">
        <v>62</v>
      </c>
      <c r="O46" s="91" t="s">
        <v>62</v>
      </c>
      <c r="P46" s="87" t="n">
        <v>74</v>
      </c>
      <c r="Q46" s="88" t="n">
        <v>44</v>
      </c>
      <c r="R46" s="87" t="n">
        <v>75</v>
      </c>
      <c r="S46" s="88" t="n">
        <v>52.2</v>
      </c>
      <c r="T46" s="86" t="n">
        <v>74</v>
      </c>
      <c r="U46" s="89" t="n">
        <v>44</v>
      </c>
      <c r="V46" s="86" t="n">
        <v>71</v>
      </c>
      <c r="W46" s="81" t="n">
        <v>50</v>
      </c>
      <c r="X46" s="86" t="n">
        <v>8.9</v>
      </c>
      <c r="Y46" s="81" t="n">
        <v>2.8</v>
      </c>
      <c r="Z46" s="96" t="s">
        <v>62</v>
      </c>
      <c r="AA46" s="91" t="s">
        <v>62</v>
      </c>
      <c r="AB46" s="96" t="s">
        <v>62</v>
      </c>
      <c r="AC46" s="90" t="s">
        <v>62</v>
      </c>
      <c r="AD46" s="85" t="n">
        <v>0</v>
      </c>
      <c r="AE46" s="90" t="s">
        <v>62</v>
      </c>
      <c r="AF46" s="90" t="s">
        <v>62</v>
      </c>
      <c r="AG46" s="91" t="s">
        <v>62</v>
      </c>
      <c r="AH46" s="92" t="s">
        <v>62</v>
      </c>
      <c r="AI46" s="93" t="s">
        <v>62</v>
      </c>
    </row>
    <row r="47" customFormat="false" ht="21" hidden="false" customHeight="true" outlineLevel="0" collapsed="false">
      <c r="B47" s="94"/>
      <c r="C47" s="80" t="s">
        <v>59</v>
      </c>
      <c r="D47" s="81" t="s">
        <v>60</v>
      </c>
      <c r="E47" s="82" t="s">
        <v>113</v>
      </c>
      <c r="F47" s="82"/>
      <c r="G47" s="92" t="s">
        <v>62</v>
      </c>
      <c r="H47" s="92" t="s">
        <v>62</v>
      </c>
      <c r="I47" s="95" t="s">
        <v>62</v>
      </c>
      <c r="J47" s="90" t="s">
        <v>62</v>
      </c>
      <c r="K47" s="90" t="s">
        <v>62</v>
      </c>
      <c r="L47" s="91" t="s">
        <v>62</v>
      </c>
      <c r="M47" s="96" t="s">
        <v>62</v>
      </c>
      <c r="N47" s="90" t="s">
        <v>62</v>
      </c>
      <c r="O47" s="91" t="s">
        <v>62</v>
      </c>
      <c r="P47" s="87" t="n">
        <v>74</v>
      </c>
      <c r="Q47" s="88" t="n">
        <v>44</v>
      </c>
      <c r="R47" s="87" t="n">
        <v>72.3</v>
      </c>
      <c r="S47" s="88" t="n">
        <v>49</v>
      </c>
      <c r="T47" s="86" t="n">
        <v>74</v>
      </c>
      <c r="U47" s="89" t="n">
        <v>44</v>
      </c>
      <c r="V47" s="86" t="n">
        <v>72</v>
      </c>
      <c r="W47" s="81" t="n">
        <v>47</v>
      </c>
      <c r="X47" s="86" t="n">
        <v>6.2</v>
      </c>
      <c r="Y47" s="81" t="n">
        <v>2.1</v>
      </c>
      <c r="Z47" s="96" t="s">
        <v>62</v>
      </c>
      <c r="AA47" s="91" t="s">
        <v>62</v>
      </c>
      <c r="AB47" s="96" t="s">
        <v>62</v>
      </c>
      <c r="AC47" s="90" t="s">
        <v>62</v>
      </c>
      <c r="AD47" s="85" t="n">
        <v>383</v>
      </c>
      <c r="AE47" s="90" t="s">
        <v>62</v>
      </c>
      <c r="AF47" s="90" t="s">
        <v>62</v>
      </c>
      <c r="AG47" s="91" t="s">
        <v>62</v>
      </c>
      <c r="AH47" s="92" t="s">
        <v>62</v>
      </c>
      <c r="AI47" s="93" t="s">
        <v>62</v>
      </c>
    </row>
    <row r="48" customFormat="false" ht="21" hidden="false" customHeight="true" outlineLevel="0" collapsed="false">
      <c r="B48" s="94"/>
      <c r="C48" s="80" t="s">
        <v>76</v>
      </c>
      <c r="D48" s="81" t="s">
        <v>60</v>
      </c>
      <c r="E48" s="82" t="s">
        <v>114</v>
      </c>
      <c r="F48" s="82"/>
      <c r="G48" s="83" t="n">
        <v>2.5</v>
      </c>
      <c r="H48" s="83" t="n">
        <v>3</v>
      </c>
      <c r="I48" s="84" t="n">
        <v>1</v>
      </c>
      <c r="J48" s="85" t="n">
        <v>2</v>
      </c>
      <c r="K48" s="85" t="n">
        <v>2</v>
      </c>
      <c r="L48" s="81" t="n">
        <v>0</v>
      </c>
      <c r="M48" s="86" t="n">
        <v>2</v>
      </c>
      <c r="N48" s="85" t="n">
        <v>3</v>
      </c>
      <c r="O48" s="81" t="n">
        <v>0</v>
      </c>
      <c r="P48" s="87" t="n">
        <v>51.9</v>
      </c>
      <c r="Q48" s="88" t="n">
        <v>42.6</v>
      </c>
      <c r="R48" s="87" t="n">
        <v>54</v>
      </c>
      <c r="S48" s="88" t="n">
        <v>44</v>
      </c>
      <c r="T48" s="86" t="n">
        <v>51.9</v>
      </c>
      <c r="U48" s="89" t="n">
        <v>42.6</v>
      </c>
      <c r="V48" s="86" t="n">
        <v>54</v>
      </c>
      <c r="W48" s="81" t="n">
        <v>44</v>
      </c>
      <c r="X48" s="86" t="n">
        <v>5</v>
      </c>
      <c r="Y48" s="81" t="n">
        <v>3</v>
      </c>
      <c r="Z48" s="86" t="s">
        <v>115</v>
      </c>
      <c r="AA48" s="81" t="n">
        <v>303</v>
      </c>
      <c r="AB48" s="86" t="s">
        <v>116</v>
      </c>
      <c r="AC48" s="85" t="n">
        <v>0.1</v>
      </c>
      <c r="AD48" s="85" t="n">
        <v>2.4</v>
      </c>
      <c r="AE48" s="85" t="n">
        <v>83.4</v>
      </c>
      <c r="AF48" s="90" t="s">
        <v>62</v>
      </c>
      <c r="AG48" s="91" t="s">
        <v>62</v>
      </c>
      <c r="AH48" s="83" t="n">
        <v>30</v>
      </c>
      <c r="AI48" s="82" t="n">
        <v>30</v>
      </c>
    </row>
    <row r="49" customFormat="false" ht="21" hidden="false" customHeight="true" outlineLevel="0" collapsed="false">
      <c r="B49" s="94"/>
      <c r="C49" s="80" t="s">
        <v>76</v>
      </c>
      <c r="D49" s="81" t="s">
        <v>60</v>
      </c>
      <c r="E49" s="82" t="s">
        <v>117</v>
      </c>
      <c r="F49" s="82"/>
      <c r="G49" s="83" t="n">
        <v>0</v>
      </c>
      <c r="H49" s="83" t="n">
        <v>7</v>
      </c>
      <c r="I49" s="84" t="n">
        <v>3</v>
      </c>
      <c r="J49" s="85" t="n">
        <v>3</v>
      </c>
      <c r="K49" s="85" t="n">
        <v>3</v>
      </c>
      <c r="L49" s="81" t="n">
        <v>1</v>
      </c>
      <c r="M49" s="86" t="n">
        <v>1</v>
      </c>
      <c r="N49" s="85" t="n">
        <v>3</v>
      </c>
      <c r="O49" s="81" t="n">
        <v>0</v>
      </c>
      <c r="P49" s="87" t="n">
        <v>51.9</v>
      </c>
      <c r="Q49" s="88" t="n">
        <v>42.6</v>
      </c>
      <c r="R49" s="87" t="n">
        <v>51.7</v>
      </c>
      <c r="S49" s="88" t="n">
        <v>42.1</v>
      </c>
      <c r="T49" s="86" t="n">
        <v>51.9</v>
      </c>
      <c r="U49" s="89" t="n">
        <v>42.6</v>
      </c>
      <c r="V49" s="86" t="n">
        <v>52</v>
      </c>
      <c r="W49" s="81" t="n">
        <v>42</v>
      </c>
      <c r="X49" s="86" t="n">
        <v>6.1</v>
      </c>
      <c r="Y49" s="81" t="n">
        <v>3.1</v>
      </c>
      <c r="Z49" s="86" t="s">
        <v>118</v>
      </c>
      <c r="AA49" s="81" t="n">
        <v>132</v>
      </c>
      <c r="AB49" s="86" t="s">
        <v>119</v>
      </c>
      <c r="AC49" s="85" t="n">
        <v>0.4</v>
      </c>
      <c r="AD49" s="85" t="n">
        <v>9.6</v>
      </c>
      <c r="AE49" s="85" t="n">
        <v>273.5</v>
      </c>
      <c r="AF49" s="90" t="s">
        <v>62</v>
      </c>
      <c r="AG49" s="91" t="s">
        <v>62</v>
      </c>
      <c r="AH49" s="83" t="n">
        <v>150</v>
      </c>
      <c r="AI49" s="82" t="n">
        <v>30</v>
      </c>
    </row>
    <row r="51" customFormat="false" ht="18.75" hidden="false" customHeight="false" outlineLevel="0" collapsed="false">
      <c r="O51" s="97" t="s">
        <v>120</v>
      </c>
      <c r="P51" s="97"/>
      <c r="Q51" s="97"/>
      <c r="R51" s="98"/>
      <c r="S51" s="98"/>
      <c r="T51" s="98"/>
    </row>
  </sheetData>
  <mergeCells count="106">
    <mergeCell ref="C1:D1"/>
    <mergeCell ref="AA1:AB1"/>
    <mergeCell ref="AC1:AD1"/>
    <mergeCell ref="D2:E2"/>
    <mergeCell ref="AA2:AB2"/>
    <mergeCell ref="AC2:AD2"/>
    <mergeCell ref="B3:Z3"/>
    <mergeCell ref="AA3:AD3"/>
    <mergeCell ref="C4:J4"/>
    <mergeCell ref="Q4:S4"/>
    <mergeCell ref="V4:Y4"/>
    <mergeCell ref="B5:B10"/>
    <mergeCell ref="C5:D8"/>
    <mergeCell ref="E5:F10"/>
    <mergeCell ref="G5:G10"/>
    <mergeCell ref="H5:L7"/>
    <mergeCell ref="M5:O7"/>
    <mergeCell ref="P5:S5"/>
    <mergeCell ref="T5:W5"/>
    <mergeCell ref="X5:Y7"/>
    <mergeCell ref="Z5:AA7"/>
    <mergeCell ref="AB5:AE7"/>
    <mergeCell ref="AH5:AH7"/>
    <mergeCell ref="AI5:AI10"/>
    <mergeCell ref="P6:Q6"/>
    <mergeCell ref="R6:S7"/>
    <mergeCell ref="T6:U6"/>
    <mergeCell ref="V6:W7"/>
    <mergeCell ref="H8:H10"/>
    <mergeCell ref="I8:J8"/>
    <mergeCell ref="K8:K10"/>
    <mergeCell ref="L8:L10"/>
    <mergeCell ref="M8:M10"/>
    <mergeCell ref="N8:N10"/>
    <mergeCell ref="O8:O10"/>
    <mergeCell ref="P8:P10"/>
    <mergeCell ref="Q8:Q10"/>
    <mergeCell ref="R8:R10"/>
    <mergeCell ref="S8:S10"/>
    <mergeCell ref="T8:T10"/>
    <mergeCell ref="U8:U10"/>
    <mergeCell ref="V8:V10"/>
    <mergeCell ref="W8:W10"/>
    <mergeCell ref="X8:X10"/>
    <mergeCell ref="Y8:Y10"/>
    <mergeCell ref="Z8:Z10"/>
    <mergeCell ref="AA8:AA10"/>
    <mergeCell ref="AB8:AB10"/>
    <mergeCell ref="AC8:AE8"/>
    <mergeCell ref="AH8:AH10"/>
    <mergeCell ref="C9:C10"/>
    <mergeCell ref="D9:D10"/>
    <mergeCell ref="I9:I10"/>
    <mergeCell ref="J9:J10"/>
    <mergeCell ref="AC9:AC10"/>
    <mergeCell ref="AD9:AD10"/>
    <mergeCell ref="AE9:AE10"/>
    <mergeCell ref="E11:F11"/>
    <mergeCell ref="B12:B16"/>
    <mergeCell ref="E12:F12"/>
    <mergeCell ref="E13:F13"/>
    <mergeCell ref="E14:F14"/>
    <mergeCell ref="E15:F15"/>
    <mergeCell ref="E16:F16"/>
    <mergeCell ref="B17:B22"/>
    <mergeCell ref="E17:F17"/>
    <mergeCell ref="E18:F18"/>
    <mergeCell ref="E19:F19"/>
    <mergeCell ref="E20:F20"/>
    <mergeCell ref="E21:F21"/>
    <mergeCell ref="E22:F22"/>
    <mergeCell ref="B23:B26"/>
    <mergeCell ref="E23:F23"/>
    <mergeCell ref="E24:F24"/>
    <mergeCell ref="E25:F25"/>
    <mergeCell ref="E26:F26"/>
    <mergeCell ref="B27:B34"/>
    <mergeCell ref="E27:F27"/>
    <mergeCell ref="E28:F28"/>
    <mergeCell ref="E29:F29"/>
    <mergeCell ref="E30:F30"/>
    <mergeCell ref="E31:F31"/>
    <mergeCell ref="E32:F32"/>
    <mergeCell ref="E33:F33"/>
    <mergeCell ref="E34:F34"/>
    <mergeCell ref="B35:B37"/>
    <mergeCell ref="E35:F35"/>
    <mergeCell ref="E36:F36"/>
    <mergeCell ref="E37:F37"/>
    <mergeCell ref="B38:B41"/>
    <mergeCell ref="E38:F38"/>
    <mergeCell ref="E39:F39"/>
    <mergeCell ref="E40:F40"/>
    <mergeCell ref="E41:F41"/>
    <mergeCell ref="B42:B44"/>
    <mergeCell ref="E42:F42"/>
    <mergeCell ref="E43:F43"/>
    <mergeCell ref="E44:F44"/>
    <mergeCell ref="B45:B49"/>
    <mergeCell ref="E45:F45"/>
    <mergeCell ref="E46:F46"/>
    <mergeCell ref="E47:F47"/>
    <mergeCell ref="E48:F48"/>
    <mergeCell ref="E49:F49"/>
    <mergeCell ref="O51:Q51"/>
    <mergeCell ref="R51:T51"/>
  </mergeCells>
  <conditionalFormatting sqref="S12:S49 W12:W49">
    <cfRule type="cellIs" priority="2" operator="greaterThan" aboveAverage="0" equalAverage="0" bottom="0" percent="0" rank="0" text="" dxfId="0">
      <formula>(Q12+Q12*0.05)</formula>
    </cfRule>
  </conditionalFormatting>
  <conditionalFormatting sqref="AI12:AI49">
    <cfRule type="cellIs" priority="3" operator="lessThan" aboveAverage="0" equalAverage="0" bottom="0" percent="0" rank="0" text="" dxfId="1">
      <formula>30</formula>
    </cfRule>
  </conditionalFormatting>
  <conditionalFormatting sqref="AD12:AD49">
    <cfRule type="cellIs" priority="4" operator="greaterThan" aboveAverage="0" equalAverage="0" bottom="0" percent="0" rank="0" text="" dxfId="2">
      <formula>$AB12*24</formula>
    </cfRule>
  </conditionalFormatting>
  <conditionalFormatting sqref="R12:R49">
    <cfRule type="cellIs" priority="5" operator="lessThan" aboveAverage="0" equalAverage="0" bottom="0" percent="0" rank="0" text="" dxfId="3">
      <formula>(P12-P12*0.03)</formula>
    </cfRule>
    <cfRule type="cellIs" priority="6" operator="greaterThan" aboveAverage="0" equalAverage="0" bottom="0" percent="0" rank="0" text="" dxfId="4">
      <formula>(P12+P12*0.03)</formula>
    </cfRule>
  </conditionalFormatting>
  <conditionalFormatting sqref="V12:V49">
    <cfRule type="cellIs" priority="7" operator="lessThan" aboveAverage="0" equalAverage="0" bottom="0" percent="0" rank="0" text="" dxfId="5">
      <formula>(T12-T12*0.03)</formula>
    </cfRule>
    <cfRule type="cellIs" priority="8" operator="greaterThan" aboveAverage="0" equalAverage="0" bottom="0" percent="0" rank="0" text="" dxfId="6">
      <formula>(T12+T12*0.03)</formula>
    </cfRule>
  </conditionalFormatting>
  <conditionalFormatting sqref="H12:H49">
    <cfRule type="cellIs" priority="9" operator="notEqual" aboveAverage="0" equalAverage="0" bottom="0" percent="0" rank="0" text="" dxfId="7">
      <formula>I12+K12+L12</formula>
    </cfRule>
  </conditionalFormatting>
  <conditionalFormatting sqref="AC12:AC49">
    <cfRule type="cellIs" priority="10" operator="greaterThan" aboveAverage="0" equalAverage="0" bottom="0" percent="0" rank="0" text="" dxfId="8">
      <formula>AB12</formula>
    </cfRule>
  </conditionalFormatting>
  <printOptions headings="false" gridLines="false" gridLinesSet="true" horizontalCentered="false" verticalCentered="false"/>
  <pageMargins left="0.279861111111111" right="0.2" top="0.329861111111111" bottom="0.2" header="0.511805555555555" footer="0.511805555555555"/>
  <pageSetup paperSize="9" scale="55" firstPageNumber="0" fitToWidth="1" fitToHeight="1" pageOrder="downThenOver" orientation="landscap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5:M6"/>
  <sheetViews>
    <sheetView windowProtection="false" showFormulas="false" showGridLines="true" showRowColHeaders="true" showZeros="true" rightToLeft="false" tabSelected="false" showOutlineSymbols="true" defaultGridColor="true" view="pageBreakPreview" topLeftCell="A1" colorId="64" zoomScale="100" zoomScaleNormal="100" zoomScalePageLayoutView="100" workbookViewId="0">
      <selection pane="topLeft" activeCell="A30005" activeCellId="0" sqref="A30005"/>
    </sheetView>
  </sheetViews>
  <sheetFormatPr defaultRowHeight="15"/>
  <sheetData>
    <row r="5" customFormat="false" ht="15" hidden="false" customHeight="false" outlineLevel="0" collapsed="false">
      <c r="A5" s="0" t="s">
        <v>121</v>
      </c>
      <c r="B5" s="0" t="e">
        <f aca="false">#NAME?</f>
        <v>#NAME?</v>
      </c>
    </row>
    <row r="6" customFormat="false" ht="15" hidden="false" customHeight="false" outlineLevel="0" collapsed="false">
      <c r="A6" s="0" t="s">
        <v>122</v>
      </c>
      <c r="B6" s="99" t="s">
        <v>123</v>
      </c>
      <c r="C6" s="99" t="s">
        <v>124</v>
      </c>
      <c r="D6" s="99" t="s">
        <v>125</v>
      </c>
      <c r="E6" s="99" t="s">
        <v>116</v>
      </c>
      <c r="F6" s="99" t="s">
        <v>126</v>
      </c>
      <c r="G6" s="99" t="s">
        <v>127</v>
      </c>
      <c r="H6" s="99" t="s">
        <v>128</v>
      </c>
      <c r="I6" s="99" t="s">
        <v>129</v>
      </c>
      <c r="J6" s="99" t="s">
        <v>130</v>
      </c>
      <c r="K6" s="99" t="s">
        <v>131</v>
      </c>
      <c r="L6" s="99" t="s">
        <v>131</v>
      </c>
      <c r="M6" s="99" t="s">
        <v>132</v>
      </c>
    </row>
  </sheetData>
  <printOptions headings="false" gridLines="false" gridLinesSet="true" horizontalCentered="false" verticalCentered="false"/>
  <pageMargins left="0.747916666666667" right="0.747916666666667" top="0.984027777777778" bottom="0.984027777777778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LibreOffice/5.2.2.2$MacOSX_X86_64 LibreOffice_project/8f96e87c890bf8fa77463cd4b640a2312823f3ad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2012-01-24T11:40:11Z</dcterms:created>
  <dc:creator>Nout</dc:creator>
  <dc:description/>
  <dc:language>ru-RU</dc:language>
  <cp:lastModifiedBy>DispetcherCDS</cp:lastModifiedBy>
  <cp:lastPrinted>2016-11-29T06:37:13Z</cp:lastPrinted>
  <dcterms:modified xsi:type="dcterms:W3CDTF">2016-11-29T08:12:23Z</dcterms:modified>
  <cp:revision>0</cp:revision>
  <dc:subject/>
  <dc:title/>
</cp:coreProperties>
</file>